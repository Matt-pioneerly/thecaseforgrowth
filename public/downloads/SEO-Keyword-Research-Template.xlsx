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Competitor Analysis" sheetId="2" state="visible" r:id="rId2"/>
    <sheet xmlns:r="http://schemas.openxmlformats.org/officeDocument/2006/relationships" name="Ranking Tracker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;-0;0"/>
  </numFmts>
  <fonts count="13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1E293B"/>
      <sz val="16"/>
    </font>
    <font>
      <color rgb="0064748B"/>
      <sz val="10"/>
    </font>
    <font>
      <b val="1"/>
      <color rgb="00FFFFFF"/>
    </font>
    <font>
      <color rgb="000000FF"/>
    </font>
    <font>
      <color rgb="00000000"/>
    </font>
    <font>
      <b val="1"/>
    </font>
    <font>
      <b val="1"/>
      <color rgb="001E293B"/>
      <sz val="14"/>
    </font>
    <font>
      <b val="1"/>
      <sz val="12"/>
    </font>
    <font>
      <b val="1"/>
      <sz val="11"/>
    </font>
    <font>
      <b val="1"/>
      <color rgb="00EA580C"/>
      <u val="single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6" fillId="4" borderId="0" pivotButton="0" quotePrefix="0" xfId="0"/>
    <xf numFmtId="3" fontId="6" fillId="4" borderId="0" pivotButton="0" quotePrefix="0" xfId="0"/>
    <xf numFmtId="164" fontId="6" fillId="4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3" borderId="0" pivotButton="0" quotePrefix="0" xfId="0"/>
    <xf numFmtId="3" fontId="5" fillId="3" borderId="0" pivotButton="0" quotePrefix="0" xfId="0"/>
    <xf numFmtId="0" fontId="9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7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thecaseforgrowth.com" TargetMode="External" Id="rId1"/><Relationship Type="http://schemas.openxmlformats.org/officeDocument/2006/relationships/hyperlink" Target="https://pioneerly.com/book-consultati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12" customWidth="1" min="5" max="5"/>
    <col width="14" customWidth="1" min="6" max="6"/>
    <col width="25" customWidth="1" min="7" max="7"/>
    <col width="16" customWidth="1" min="8" max="8"/>
    <col width="12" customWidth="1" min="9" max="9"/>
    <col width="14" customWidth="1" min="10" max="10"/>
    <col width="16" customWidth="1" min="11" max="11"/>
    <col width="30" customWidth="1" min="12" max="12"/>
  </cols>
  <sheetData>
    <row r="1" ht="22" customHeight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 ht="25" customHeight="1">
      <c r="A4" s="3" t="inlineStr">
        <is>
          <t>SEO KEYWORD RESEARCH TEMPLATE</t>
        </is>
      </c>
    </row>
    <row r="5">
      <c r="A5" s="4" t="inlineStr">
        <is>
          <t>Track keywords, search volume, difficulty, and current rankings for your law firm</t>
        </is>
      </c>
    </row>
    <row r="7">
      <c r="A7" s="5" t="inlineStr">
        <is>
          <t>Keyword</t>
        </is>
      </c>
      <c r="B7" s="5" t="inlineStr">
        <is>
          <t>Practice Area</t>
        </is>
      </c>
      <c r="C7" s="5" t="inlineStr">
        <is>
          <t>Search Volume</t>
        </is>
      </c>
      <c r="D7" s="5" t="inlineStr">
        <is>
          <t>Keyword Difficulty</t>
        </is>
      </c>
      <c r="E7" s="5" t="inlineStr">
        <is>
          <t>CPC ($)</t>
        </is>
      </c>
      <c r="F7" s="5" t="inlineStr">
        <is>
          <t>Current Rank</t>
        </is>
      </c>
      <c r="G7" s="5" t="inlineStr">
        <is>
          <t>Target Page</t>
        </is>
      </c>
      <c r="H7" s="5" t="inlineStr">
        <is>
          <t>Search Intent</t>
        </is>
      </c>
      <c r="I7" s="5" t="inlineStr">
        <is>
          <t>Priority</t>
        </is>
      </c>
      <c r="J7" s="5" t="inlineStr">
        <is>
          <t>Status</t>
        </is>
      </c>
      <c r="K7" s="5" t="inlineStr">
        <is>
          <t>Monthly Traffic</t>
        </is>
      </c>
      <c r="L7" s="5" t="inlineStr">
        <is>
          <t>Notes</t>
        </is>
      </c>
    </row>
    <row r="8">
      <c r="A8" s="6" t="inlineStr">
        <is>
          <t>personal injury lawyer [city]</t>
        </is>
      </c>
      <c r="B8" s="6" t="inlineStr">
        <is>
          <t>Personal Injury</t>
        </is>
      </c>
      <c r="C8" s="7" t="n">
        <v>1200</v>
      </c>
      <c r="D8" s="6" t="inlineStr">
        <is>
          <t>High</t>
        </is>
      </c>
      <c r="E8" s="8" t="n">
        <v>45.5</v>
      </c>
      <c r="F8" s="6" t="n">
        <v>15</v>
      </c>
      <c r="G8" s="9" t="inlineStr">
        <is>
          <t>/personal-injury</t>
        </is>
      </c>
      <c r="H8" s="9" t="inlineStr">
        <is>
          <t>Commercial</t>
        </is>
      </c>
      <c r="I8" s="9" t="inlineStr">
        <is>
          <t>High</t>
        </is>
      </c>
      <c r="J8" s="9" t="inlineStr">
        <is>
          <t>Targeting</t>
        </is>
      </c>
      <c r="K8" s="10">
        <f>IF(C8&gt;0,IF(F8&gt;0,C8*(1/F8)*0.3,0),0)</f>
        <v/>
      </c>
      <c r="L8" s="9" t="inlineStr">
        <is>
          <t>High-value keyword</t>
        </is>
      </c>
    </row>
    <row r="9">
      <c r="A9" s="6" t="inlineStr">
        <is>
          <t>car accident attorney [city]</t>
        </is>
      </c>
      <c r="B9" s="6" t="inlineStr">
        <is>
          <t>Personal Injury</t>
        </is>
      </c>
      <c r="C9" s="7" t="n">
        <v>800</v>
      </c>
      <c r="D9" s="6" t="inlineStr">
        <is>
          <t>High</t>
        </is>
      </c>
      <c r="E9" s="8" t="n">
        <v>38.75</v>
      </c>
      <c r="F9" s="6" t="n">
        <v>8</v>
      </c>
      <c r="G9" s="9" t="inlineStr">
        <is>
          <t>/car-accident</t>
        </is>
      </c>
      <c r="H9" s="9" t="inlineStr">
        <is>
          <t>Commercial</t>
        </is>
      </c>
      <c r="I9" s="9" t="inlineStr">
        <is>
          <t>High</t>
        </is>
      </c>
      <c r="J9" s="9" t="inlineStr">
        <is>
          <t>Optimizing</t>
        </is>
      </c>
      <c r="K9" s="10">
        <f>IF(C9&gt;0,IF(F9&gt;0,C9*(1/F9)*0.3,0),0)</f>
        <v/>
      </c>
      <c r="L9" s="9" t="inlineStr"/>
    </row>
    <row r="10">
      <c r="A10" s="6" t="inlineStr">
        <is>
          <t>divorce lawyer [city]</t>
        </is>
      </c>
      <c r="B10" s="6" t="inlineStr">
        <is>
          <t>Family Law</t>
        </is>
      </c>
      <c r="C10" s="7" t="n">
        <v>600</v>
      </c>
      <c r="D10" s="6" t="inlineStr">
        <is>
          <t>Medium</t>
        </is>
      </c>
      <c r="E10" s="8" t="n">
        <v>28.5</v>
      </c>
      <c r="F10" s="6" t="n">
        <v>12</v>
      </c>
      <c r="G10" s="9" t="inlineStr">
        <is>
          <t>/divorce</t>
        </is>
      </c>
      <c r="H10" s="9" t="inlineStr">
        <is>
          <t>Commercial</t>
        </is>
      </c>
      <c r="I10" s="9" t="inlineStr">
        <is>
          <t>Medium</t>
        </is>
      </c>
      <c r="J10" s="9" t="inlineStr">
        <is>
          <t>Targeting</t>
        </is>
      </c>
      <c r="K10" s="10">
        <f>IF(C10&gt;0,IF(F10&gt;0,C10*(1/F10)*0.3,0),0)</f>
        <v/>
      </c>
      <c r="L10" s="9" t="inlineStr"/>
    </row>
    <row r="11">
      <c r="A11" s="6" t="inlineStr">
        <is>
          <t>criminal defense attorney [city]</t>
        </is>
      </c>
      <c r="B11" s="6" t="inlineStr">
        <is>
          <t>Criminal Defense</t>
        </is>
      </c>
      <c r="C11" s="7" t="n">
        <v>450</v>
      </c>
      <c r="D11" s="6" t="inlineStr">
        <is>
          <t>Medium</t>
        </is>
      </c>
      <c r="E11" s="8" t="n">
        <v>42</v>
      </c>
      <c r="F11" s="6" t="n">
        <v>0</v>
      </c>
      <c r="G11" s="9" t="inlineStr">
        <is>
          <t>/criminal-defense</t>
        </is>
      </c>
      <c r="H11" s="9" t="inlineStr">
        <is>
          <t>Commercial</t>
        </is>
      </c>
      <c r="I11" s="9" t="inlineStr">
        <is>
          <t>High</t>
        </is>
      </c>
      <c r="J11" s="9" t="inlineStr">
        <is>
          <t>New Page</t>
        </is>
      </c>
      <c r="K11" s="10">
        <f>IF(C11&gt;0,IF(F11&gt;0,C11*(1/F11)*0.3,0),0)</f>
        <v/>
      </c>
      <c r="L11" s="9" t="inlineStr">
        <is>
          <t>No ranking yet</t>
        </is>
      </c>
    </row>
    <row r="12">
      <c r="A12" s="6" t="inlineStr">
        <is>
          <t>estate planning lawyer [city]</t>
        </is>
      </c>
      <c r="B12" s="6" t="inlineStr">
        <is>
          <t>Estate Planning</t>
        </is>
      </c>
      <c r="C12" s="7" t="n">
        <v>350</v>
      </c>
      <c r="D12" s="6" t="inlineStr">
        <is>
          <t>Low</t>
        </is>
      </c>
      <c r="E12" s="8" t="n">
        <v>15.25</v>
      </c>
      <c r="F12" s="6" t="n">
        <v>5</v>
      </c>
      <c r="G12" s="9" t="inlineStr">
        <is>
          <t>/estate-planning</t>
        </is>
      </c>
      <c r="H12" s="9" t="inlineStr">
        <is>
          <t>Commercial</t>
        </is>
      </c>
      <c r="I12" s="9" t="inlineStr">
        <is>
          <t>Medium</t>
        </is>
      </c>
      <c r="J12" s="9" t="inlineStr">
        <is>
          <t>Top 5</t>
        </is>
      </c>
      <c r="K12" s="10">
        <f>IF(C12&gt;0,IF(F12&gt;0,C12*(1/F12)*0.3,0),0)</f>
        <v/>
      </c>
      <c r="L12" s="9" t="inlineStr">
        <is>
          <t>Good performance</t>
        </is>
      </c>
    </row>
    <row r="13">
      <c r="C13" s="7" t="n">
        <v>0</v>
      </c>
      <c r="E13" s="8" t="n">
        <v>0</v>
      </c>
      <c r="F13" s="6" t="n">
        <v>0</v>
      </c>
      <c r="K13" s="10">
        <f>IF(C13&gt;0,IF(F13&gt;0,C13*(1/F13)*0.3,0),0)</f>
        <v/>
      </c>
    </row>
    <row r="14">
      <c r="C14" s="7" t="n">
        <v>0</v>
      </c>
      <c r="E14" s="8" t="n">
        <v>0</v>
      </c>
      <c r="F14" s="6" t="n">
        <v>0</v>
      </c>
      <c r="K14" s="10">
        <f>IF(C14&gt;0,IF(F14&gt;0,C14*(1/F14)*0.3,0),0)</f>
        <v/>
      </c>
    </row>
    <row r="15">
      <c r="C15" s="7" t="n">
        <v>0</v>
      </c>
      <c r="E15" s="8" t="n">
        <v>0</v>
      </c>
      <c r="F15" s="6" t="n">
        <v>0</v>
      </c>
      <c r="K15" s="10">
        <f>IF(C15&gt;0,IF(F15&gt;0,C15*(1/F15)*0.3,0),0)</f>
        <v/>
      </c>
    </row>
    <row r="16">
      <c r="C16" s="7" t="n">
        <v>0</v>
      </c>
      <c r="E16" s="8" t="n">
        <v>0</v>
      </c>
      <c r="F16" s="6" t="n">
        <v>0</v>
      </c>
      <c r="K16" s="10">
        <f>IF(C16&gt;0,IF(F16&gt;0,C16*(1/F16)*0.3,0),0)</f>
        <v/>
      </c>
    </row>
    <row r="17">
      <c r="C17" s="7" t="n">
        <v>0</v>
      </c>
      <c r="E17" s="8" t="n">
        <v>0</v>
      </c>
      <c r="F17" s="6" t="n">
        <v>0</v>
      </c>
      <c r="K17" s="10">
        <f>IF(C17&gt;0,IF(F17&gt;0,C17*(1/F17)*0.3,0),0)</f>
        <v/>
      </c>
    </row>
    <row r="18">
      <c r="C18" s="7" t="n">
        <v>0</v>
      </c>
      <c r="E18" s="8" t="n">
        <v>0</v>
      </c>
      <c r="F18" s="6" t="n">
        <v>0</v>
      </c>
      <c r="K18" s="10">
        <f>IF(C18&gt;0,IF(F18&gt;0,C18*(1/F18)*0.3,0),0)</f>
        <v/>
      </c>
    </row>
    <row r="19">
      <c r="C19" s="7" t="n">
        <v>0</v>
      </c>
      <c r="E19" s="8" t="n">
        <v>0</v>
      </c>
      <c r="F19" s="6" t="n">
        <v>0</v>
      </c>
      <c r="K19" s="10">
        <f>IF(C19&gt;0,IF(F19&gt;0,C19*(1/F19)*0.3,0),0)</f>
        <v/>
      </c>
    </row>
    <row r="20">
      <c r="C20" s="7" t="n">
        <v>0</v>
      </c>
      <c r="E20" s="8" t="n">
        <v>0</v>
      </c>
      <c r="F20" s="6" t="n">
        <v>0</v>
      </c>
      <c r="K20" s="10">
        <f>IF(C20&gt;0,IF(F20&gt;0,C20*(1/F20)*0.3,0),0)</f>
        <v/>
      </c>
    </row>
    <row r="21">
      <c r="C21" s="7" t="n">
        <v>0</v>
      </c>
      <c r="E21" s="8" t="n">
        <v>0</v>
      </c>
      <c r="F21" s="6" t="n">
        <v>0</v>
      </c>
      <c r="K21" s="10">
        <f>IF(C21&gt;0,IF(F21&gt;0,C21*(1/F21)*0.3,0),0)</f>
        <v/>
      </c>
    </row>
    <row r="22">
      <c r="C22" s="7" t="n">
        <v>0</v>
      </c>
      <c r="E22" s="8" t="n">
        <v>0</v>
      </c>
      <c r="F22" s="6" t="n">
        <v>0</v>
      </c>
      <c r="K22" s="10">
        <f>IF(C22&gt;0,IF(F22&gt;0,C22*(1/F22)*0.3,0),0)</f>
        <v/>
      </c>
    </row>
    <row r="23">
      <c r="C23" s="7" t="n">
        <v>0</v>
      </c>
      <c r="E23" s="8" t="n">
        <v>0</v>
      </c>
      <c r="F23" s="6" t="n">
        <v>0</v>
      </c>
      <c r="K23" s="10">
        <f>IF(C23&gt;0,IF(F23&gt;0,C23*(1/F23)*0.3,0),0)</f>
        <v/>
      </c>
    </row>
    <row r="24">
      <c r="C24" s="7" t="n">
        <v>0</v>
      </c>
      <c r="E24" s="8" t="n">
        <v>0</v>
      </c>
      <c r="F24" s="6" t="n">
        <v>0</v>
      </c>
      <c r="K24" s="10">
        <f>IF(C24&gt;0,IF(F24&gt;0,C24*(1/F24)*0.3,0),0)</f>
        <v/>
      </c>
    </row>
    <row r="25">
      <c r="C25" s="7" t="n">
        <v>0</v>
      </c>
      <c r="E25" s="8" t="n">
        <v>0</v>
      </c>
      <c r="F25" s="6" t="n">
        <v>0</v>
      </c>
      <c r="K25" s="10">
        <f>IF(C25&gt;0,IF(F25&gt;0,C25*(1/F25)*0.3,0),0)</f>
        <v/>
      </c>
    </row>
    <row r="26">
      <c r="C26" s="7" t="n">
        <v>0</v>
      </c>
      <c r="E26" s="8" t="n">
        <v>0</v>
      </c>
      <c r="F26" s="6" t="n">
        <v>0</v>
      </c>
      <c r="K26" s="10">
        <f>IF(C26&gt;0,IF(F26&gt;0,C26*(1/F26)*0.3,0),0)</f>
        <v/>
      </c>
    </row>
    <row r="27">
      <c r="C27" s="7" t="n">
        <v>0</v>
      </c>
      <c r="E27" s="8" t="n">
        <v>0</v>
      </c>
      <c r="F27" s="6" t="n">
        <v>0</v>
      </c>
      <c r="K27" s="10">
        <f>IF(C27&gt;0,IF(F27&gt;0,C27*(1/F27)*0.3,0),0)</f>
        <v/>
      </c>
    </row>
    <row r="29">
      <c r="A29" s="11" t="inlineStr">
        <is>
          <t>TOTALS</t>
        </is>
      </c>
      <c r="C29" s="12">
        <f>SUM(C8:C27)</f>
        <v/>
      </c>
      <c r="K29" s="12">
        <f>SUM(K8:K27)</f>
        <v/>
      </c>
    </row>
  </sheetData>
  <mergeCells count="4">
    <mergeCell ref="A2:L2"/>
    <mergeCell ref="A1:L1"/>
    <mergeCell ref="A4:L4"/>
    <mergeCell ref="A5:L5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8" customWidth="1" min="4" max="4"/>
    <col width="18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13" t="inlineStr">
        <is>
          <t>COMPETITOR KEYWORD ANALYSIS</t>
        </is>
      </c>
    </row>
    <row r="6">
      <c r="A6" s="5" t="inlineStr">
        <is>
          <t>Competitor Firm</t>
        </is>
      </c>
      <c r="B6" s="5" t="inlineStr">
        <is>
          <t>Website</t>
        </is>
      </c>
      <c r="C6" s="5" t="inlineStr">
        <is>
          <t>Top Ranking Keywords</t>
        </is>
      </c>
      <c r="D6" s="5" t="inlineStr">
        <is>
          <t>Domain Authority</t>
        </is>
      </c>
      <c r="E6" s="5" t="inlineStr">
        <is>
          <t>Monthly Traffic Est.</t>
        </is>
      </c>
      <c r="F6" s="5" t="inlineStr">
        <is>
          <t>Backlinks</t>
        </is>
      </c>
      <c r="G6" s="5" t="inlineStr">
        <is>
          <t>Content Pages</t>
        </is>
      </c>
      <c r="H6" s="5" t="inlineStr">
        <is>
          <t>Notes</t>
        </is>
      </c>
    </row>
    <row r="7">
      <c r="A7" s="6" t="inlineStr">
        <is>
          <t>Smith &amp; Associates</t>
        </is>
      </c>
      <c r="B7" s="6" t="inlineStr">
        <is>
          <t>smithlawfirm.com</t>
        </is>
      </c>
      <c r="C7" s="9" t="n">
        <v>45</v>
      </c>
      <c r="D7" s="10" t="n">
        <v>72</v>
      </c>
      <c r="E7" s="10" t="n">
        <v>8500</v>
      </c>
      <c r="F7" s="10" t="n">
        <v>320</v>
      </c>
      <c r="G7" s="10" t="n">
        <v>85</v>
      </c>
      <c r="H7" s="6" t="inlineStr">
        <is>
          <t>Strong content strategy</t>
        </is>
      </c>
    </row>
    <row r="8">
      <c r="A8" s="6" t="inlineStr">
        <is>
          <t>Johnson Legal</t>
        </is>
      </c>
      <c r="B8" s="6" t="inlineStr">
        <is>
          <t>johnsonlegal.com</t>
        </is>
      </c>
      <c r="C8" s="9" t="n">
        <v>38</v>
      </c>
      <c r="D8" s="10" t="n">
        <v>65</v>
      </c>
      <c r="E8" s="10" t="n">
        <v>6200</v>
      </c>
      <c r="F8" s="10" t="n">
        <v>180</v>
      </c>
      <c r="G8" s="10" t="n">
        <v>52</v>
      </c>
      <c r="H8" s="6" t="inlineStr">
        <is>
          <t>Good local presence</t>
        </is>
      </c>
    </row>
    <row r="9">
      <c r="A9" s="6" t="inlineStr">
        <is>
          <t>Brown Attorneys</t>
        </is>
      </c>
      <c r="B9" s="6" t="inlineStr">
        <is>
          <t>brownattorneys.com</t>
        </is>
      </c>
      <c r="C9" s="9" t="n">
        <v>32</v>
      </c>
      <c r="D9" s="10" t="n">
        <v>58</v>
      </c>
      <c r="E9" s="10" t="n">
        <v>4800</v>
      </c>
      <c r="F9" s="10" t="n">
        <v>145</v>
      </c>
      <c r="G9" s="10" t="n">
        <v>38</v>
      </c>
      <c r="H9" s="6" t="inlineStr">
        <is>
          <t>Focus on personal injury</t>
        </is>
      </c>
    </row>
    <row r="10">
      <c r="D10" s="7" t="n">
        <v>0</v>
      </c>
      <c r="E10" s="7" t="n">
        <v>0</v>
      </c>
      <c r="F10" s="7" t="n">
        <v>0</v>
      </c>
      <c r="G10" s="7" t="n">
        <v>0</v>
      </c>
    </row>
    <row r="11">
      <c r="D11" s="7" t="n">
        <v>0</v>
      </c>
      <c r="E11" s="7" t="n">
        <v>0</v>
      </c>
      <c r="F11" s="7" t="n">
        <v>0</v>
      </c>
      <c r="G11" s="7" t="n">
        <v>0</v>
      </c>
    </row>
    <row r="12">
      <c r="D12" s="7" t="n">
        <v>0</v>
      </c>
      <c r="E12" s="7" t="n">
        <v>0</v>
      </c>
      <c r="F12" s="7" t="n">
        <v>0</v>
      </c>
      <c r="G12" s="7" t="n">
        <v>0</v>
      </c>
    </row>
    <row r="13">
      <c r="D13" s="7" t="n">
        <v>0</v>
      </c>
      <c r="E13" s="7" t="n">
        <v>0</v>
      </c>
      <c r="F13" s="7" t="n">
        <v>0</v>
      </c>
      <c r="G13" s="7" t="n">
        <v>0</v>
      </c>
    </row>
    <row r="14">
      <c r="D14" s="7" t="n">
        <v>0</v>
      </c>
      <c r="E14" s="7" t="n">
        <v>0</v>
      </c>
      <c r="F14" s="7" t="n">
        <v>0</v>
      </c>
      <c r="G14" s="7" t="n">
        <v>0</v>
      </c>
    </row>
    <row r="15">
      <c r="D15" s="7" t="n">
        <v>0</v>
      </c>
      <c r="E15" s="7" t="n">
        <v>0</v>
      </c>
      <c r="F15" s="7" t="n">
        <v>0</v>
      </c>
      <c r="G15" s="7" t="n">
        <v>0</v>
      </c>
    </row>
    <row r="16">
      <c r="D16" s="7" t="n">
        <v>0</v>
      </c>
      <c r="E16" s="7" t="n">
        <v>0</v>
      </c>
      <c r="F16" s="7" t="n">
        <v>0</v>
      </c>
      <c r="G16" s="7" t="n">
        <v>0</v>
      </c>
    </row>
  </sheetData>
  <mergeCells count="3">
    <mergeCell ref="A4:H4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13" t="inlineStr">
        <is>
          <t>KEYWORD RANKING TRACKER</t>
        </is>
      </c>
    </row>
    <row r="5">
      <c r="A5" s="4" t="inlineStr">
        <is>
          <t>Track keyword position changes over time</t>
        </is>
      </c>
    </row>
    <row r="7">
      <c r="A7" s="14" t="inlineStr">
        <is>
          <t>Keyword</t>
        </is>
      </c>
      <c r="B7" s="14" t="inlineStr">
        <is>
          <t>Month 1</t>
        </is>
      </c>
      <c r="C7" s="14" t="inlineStr">
        <is>
          <t>Month 2</t>
        </is>
      </c>
      <c r="D7" s="14" t="inlineStr">
        <is>
          <t>Month 3</t>
        </is>
      </c>
      <c r="E7" s="14" t="inlineStr">
        <is>
          <t>Month 4</t>
        </is>
      </c>
      <c r="F7" s="14" t="inlineStr">
        <is>
          <t>Current</t>
        </is>
      </c>
      <c r="G7" s="14" t="inlineStr">
        <is>
          <t>Change</t>
        </is>
      </c>
    </row>
    <row r="8">
      <c r="A8" s="6" t="inlineStr">
        <is>
          <t>personal injury lawyer [city]</t>
        </is>
      </c>
      <c r="B8" s="6" t="n">
        <v>18</v>
      </c>
      <c r="C8" s="6" t="n">
        <v>16</v>
      </c>
      <c r="D8" s="6" t="n">
        <v>12</v>
      </c>
      <c r="E8" s="6" t="n">
        <v>10</v>
      </c>
      <c r="F8" s="6" t="n">
        <v>8</v>
      </c>
      <c r="G8" s="15">
        <f>F8-B8</f>
        <v/>
      </c>
    </row>
    <row r="9">
      <c r="A9" s="6" t="inlineStr">
        <is>
          <t>car accident attorney [city]</t>
        </is>
      </c>
      <c r="B9" s="6" t="n">
        <v>0</v>
      </c>
      <c r="C9" s="6" t="n">
        <v>22</v>
      </c>
      <c r="D9" s="6" t="n">
        <v>18</v>
      </c>
      <c r="E9" s="6" t="n">
        <v>15</v>
      </c>
      <c r="F9" s="6" t="n">
        <v>12</v>
      </c>
      <c r="G9" s="15">
        <f>F9-B9</f>
        <v/>
      </c>
    </row>
    <row r="10">
      <c r="A10" s="6" t="inlineStr">
        <is>
          <t>divorce lawyer [city]</t>
        </is>
      </c>
      <c r="B10" s="6" t="n">
        <v>15</v>
      </c>
      <c r="C10" s="6" t="n">
        <v>14</v>
      </c>
      <c r="D10" s="6" t="n">
        <v>13</v>
      </c>
      <c r="E10" s="6" t="n">
        <v>12</v>
      </c>
      <c r="F10" s="6" t="n">
        <v>10</v>
      </c>
      <c r="G10" s="15">
        <f>F10-B10</f>
        <v/>
      </c>
    </row>
    <row r="11">
      <c r="G11" s="15">
        <f>IF(F11&gt;0,F11-B11,"")</f>
        <v/>
      </c>
    </row>
    <row r="12">
      <c r="G12" s="15">
        <f>IF(F12&gt;0,F12-B12,"")</f>
        <v/>
      </c>
    </row>
    <row r="13">
      <c r="G13" s="15">
        <f>IF(F13&gt;0,F13-B13,"")</f>
        <v/>
      </c>
    </row>
    <row r="14">
      <c r="G14" s="15">
        <f>IF(F14&gt;0,F14-B14,"")</f>
        <v/>
      </c>
    </row>
    <row r="15">
      <c r="G15" s="15">
        <f>IF(F15&gt;0,F15-B15,"")</f>
        <v/>
      </c>
    </row>
    <row r="16">
      <c r="G16" s="15">
        <f>IF(F16&gt;0,F16-B16,"")</f>
        <v/>
      </c>
    </row>
    <row r="17">
      <c r="G17" s="15">
        <f>IF(F17&gt;0,F17-B17,"")</f>
        <v/>
      </c>
    </row>
    <row r="18">
      <c r="G18" s="15">
        <f>IF(F18&gt;0,F18-B18,"")</f>
        <v/>
      </c>
    </row>
    <row r="19">
      <c r="G19" s="15">
        <f>IF(F19&gt;0,F19-B19,"")</f>
        <v/>
      </c>
    </row>
    <row r="20">
      <c r="G20" s="15">
        <f>IF(F20&gt;0,F20-B20,"")</f>
        <v/>
      </c>
    </row>
    <row r="21">
      <c r="G21" s="15">
        <f>IF(F21&gt;0,F21-B21,"")</f>
        <v/>
      </c>
    </row>
    <row r="22">
      <c r="G22" s="15">
        <f>IF(F22&gt;0,F22-B22,"")</f>
        <v/>
      </c>
    </row>
    <row r="23">
      <c r="G23" s="15">
        <f>IF(F23&gt;0,F23-B23,"")</f>
        <v/>
      </c>
    </row>
    <row r="24">
      <c r="G24" s="15">
        <f>IF(F24&gt;0,F24-B24,"")</f>
        <v/>
      </c>
    </row>
    <row r="25">
      <c r="G25" s="15">
        <f>IF(F25&gt;0,F25-B25,"")</f>
        <v/>
      </c>
    </row>
    <row r="26">
      <c r="G26" s="15">
        <f>IF(F26&gt;0,F26-B26,"")</f>
        <v/>
      </c>
    </row>
    <row r="27">
      <c r="G27" s="15">
        <f>IF(F27&gt;0,F27-B27,"")</f>
        <v/>
      </c>
    </row>
  </sheetData>
  <mergeCells count="4">
    <mergeCell ref="A2:G2"/>
    <mergeCell ref="A1:G1"/>
    <mergeCell ref="A5:G5"/>
    <mergeCell ref="A4: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6" t="inlineStr"/>
    </row>
    <row r="2">
      <c r="A2" s="17" t="inlineStr">
        <is>
          <t>HOW TO USE THIS TEMPLATE:</t>
        </is>
      </c>
    </row>
    <row r="3"/>
    <row r="4">
      <c r="A4" t="inlineStr">
        <is>
          <t>1. Keyword Research Sheet:</t>
        </is>
      </c>
    </row>
    <row r="5">
      <c r="A5" t="inlineStr">
        <is>
          <t xml:space="preserve">   • Enter target keywords (Blue cells)</t>
        </is>
      </c>
    </row>
    <row r="6">
      <c r="A6" t="inlineStr">
        <is>
          <t xml:space="preserve">   • Add practice area for each keyword</t>
        </is>
      </c>
    </row>
    <row r="7">
      <c r="A7" t="inlineStr">
        <is>
          <t xml:space="preserve">   • Input search volume from Google Keyword Planner or SEMrush</t>
        </is>
      </c>
    </row>
    <row r="8">
      <c r="A8" t="inlineStr">
        <is>
          <t xml:space="preserve">   • Record keyword difficulty (0-100)</t>
        </is>
      </c>
    </row>
    <row r="9">
      <c r="A9" t="inlineStr">
        <is>
          <t xml:space="preserve">   • Track current ranking position (0 if not ranking)</t>
        </is>
      </c>
    </row>
    <row r="10">
      <c r="A10" t="inlineStr">
        <is>
          <t xml:space="preserve">   • Monthly traffic estimate calculates automatically</t>
        </is>
      </c>
    </row>
    <row r="11"/>
    <row r="12">
      <c r="A12" t="inlineStr">
        <is>
          <t>2. Competitor Analysis Sheet:</t>
        </is>
      </c>
    </row>
    <row r="13">
      <c r="A13" t="inlineStr">
        <is>
          <t xml:space="preserve">   • List 5-10 competitor law firms</t>
        </is>
      </c>
    </row>
    <row r="14">
      <c r="A14" t="inlineStr">
        <is>
          <t xml:space="preserve">   • Track their ranking keywords and metrics</t>
        </is>
      </c>
    </row>
    <row r="15">
      <c r="A15" t="inlineStr">
        <is>
          <t xml:space="preserve">   • Identify content gaps and opportunities</t>
        </is>
      </c>
    </row>
    <row r="16"/>
    <row r="17">
      <c r="A17" t="inlineStr">
        <is>
          <t>3. Ranking Tracker Sheet:</t>
        </is>
      </c>
    </row>
    <row r="18">
      <c r="A18" t="inlineStr">
        <is>
          <t xml:space="preserve">   • Update rankings monthly</t>
        </is>
      </c>
    </row>
    <row r="19">
      <c r="A19" t="inlineStr">
        <is>
          <t xml:space="preserve">   • Track position changes over time</t>
        </is>
      </c>
    </row>
    <row r="20">
      <c r="A20" t="inlineStr">
        <is>
          <t xml:space="preserve">   • Identify upward and downward trends</t>
        </is>
      </c>
    </row>
    <row r="21"/>
    <row r="22">
      <c r="A22" s="17" t="inlineStr">
        <is>
          <t>KEYWORD RESEARCH TIPS:</t>
        </is>
      </c>
    </row>
    <row r="23">
      <c r="A23" t="inlineStr">
        <is>
          <t xml:space="preserve">   • Use location modifiers ([city], [state])</t>
        </is>
      </c>
    </row>
    <row r="24">
      <c r="A24" t="inlineStr">
        <is>
          <t xml:space="preserve">   • Target practice area-specific terms</t>
        </is>
      </c>
    </row>
    <row r="25">
      <c r="A25" t="inlineStr">
        <is>
          <t xml:space="preserve">   • Mix high and low competition keywords</t>
        </is>
      </c>
    </row>
    <row r="26">
      <c r="A26" t="inlineStr">
        <is>
          <t xml:space="preserve">   • Focus on commercial intent keywords</t>
        </is>
      </c>
    </row>
    <row r="27">
      <c r="A27" t="inlineStr">
        <is>
          <t xml:space="preserve">   • Create content for each priority keyword</t>
        </is>
      </c>
    </row>
    <row r="28"/>
    <row r="29">
      <c r="A29" s="17" t="inlineStr">
        <is>
          <t>TOOLS TO USE:</t>
        </is>
      </c>
    </row>
    <row r="30">
      <c r="A30" t="inlineStr">
        <is>
          <t xml:space="preserve">   • Google Keyword Planner (free)</t>
        </is>
      </c>
    </row>
    <row r="31">
      <c r="A31" t="inlineStr">
        <is>
          <t xml:space="preserve">   • Google Search Console (free)</t>
        </is>
      </c>
    </row>
    <row r="32">
      <c r="A32" t="inlineStr">
        <is>
          <t xml:space="preserve">   • SEMrush or Ahrefs (paid)</t>
        </is>
      </c>
    </row>
    <row r="33">
      <c r="A33" t="inlineStr">
        <is>
          <t xml:space="preserve">   • AnswerThePublic (free)</t>
        </is>
      </c>
    </row>
    <row r="34"/>
    <row r="35">
      <c r="A35" t="inlineStr">
        <is>
          <t>Get 30+ more resources at:</t>
        </is>
      </c>
    </row>
    <row r="36">
      <c r="A36" s="18" t="inlineStr">
        <is>
          <t>thecaseforgrowth.com</t>
        </is>
      </c>
    </row>
    <row r="37"/>
    <row r="38">
      <c r="A38" t="inlineStr">
        <is>
          <t>Need help with your SEO strategy?</t>
        </is>
      </c>
    </row>
    <row r="39">
      <c r="A39" s="18" t="inlineStr">
        <is>
          <t>Book a consultation</t>
        </is>
      </c>
    </row>
  </sheetData>
  <hyperlinks>
    <hyperlink xmlns:r="http://schemas.openxmlformats.org/officeDocument/2006/relationships" ref="A36" r:id="rId1"/>
    <hyperlink xmlns:r="http://schemas.openxmlformats.org/officeDocument/2006/relationships" ref="A3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2026-01-14T02:12:43Z</dcterms:created>
  <dcterms:modified xmlns:dcterms="http://purl.org/dc/terms/" xmlns:xsi="http://www.w3.org/2001/XMLSchema-instance" xsi:type="dcterms:W3CDTF">2026-01-25T11:53:31Z</dcterms:modified>
</cp:coreProperties>
</file>