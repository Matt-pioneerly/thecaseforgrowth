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Conversion Funnel" sheetId="2" state="visible" r:id="rId2"/>
    <sheet xmlns:r="http://schemas.openxmlformats.org/officeDocument/2006/relationships" name="Source Performance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"/>
    <numFmt numFmtId="167" formatCode="0.0%"/>
  </numFmts>
  <fonts count="15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1E293B"/>
      <sz val="16"/>
    </font>
    <font>
      <color rgb="0064748B"/>
      <sz val="10"/>
    </font>
    <font>
      <b val="1"/>
      <color rgb="00FFFFFF"/>
    </font>
    <font>
      <color rgb="000000FF"/>
    </font>
    <font>
      <color rgb="00000000"/>
    </font>
    <font>
      <b val="1"/>
    </font>
    <font>
      <b val="1"/>
      <color rgb="001E293B"/>
      <sz val="14"/>
    </font>
    <font>
      <color rgb="0064748B"/>
      <sz val="9"/>
    </font>
    <font>
      <b val="1"/>
      <sz val="12"/>
    </font>
    <font>
      <i val="1"/>
      <color rgb="0064748B"/>
      <sz val="9"/>
    </font>
    <font>
      <b val="1"/>
      <sz val="11"/>
    </font>
    <font>
      <b val="1"/>
      <color rgb="00EA580C"/>
      <u val="single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165" fontId="6" fillId="4" borderId="0" pivotButton="0" quotePrefix="0" xfId="0"/>
    <xf numFmtId="0" fontId="6" fillId="4" borderId="0" pivotButton="0" quotePrefix="0" xfId="0"/>
    <xf numFmtId="166" fontId="6" fillId="4" borderId="0" pivotButton="0" quotePrefix="0" xfId="0"/>
    <xf numFmtId="9" fontId="6" fillId="4" borderId="0" pivotButton="0" quotePrefix="0" xfId="0"/>
    <xf numFmtId="166" fontId="7" fillId="0" borderId="0" pivotButton="0" quotePrefix="0" xfId="0"/>
    <xf numFmtId="0" fontId="8" fillId="3" borderId="0" pivotButton="0" quotePrefix="0" xfId="0"/>
    <xf numFmtId="0" fontId="5" fillId="3" borderId="0" pivotButton="0" quotePrefix="0" xfId="0"/>
    <xf numFmtId="166" fontId="5" fillId="3" borderId="0" pivotButton="0" quotePrefix="0" xfId="0"/>
    <xf numFmtId="0" fontId="9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7" fillId="0" borderId="0" pivotButton="0" quotePrefix="0" xfId="0"/>
    <xf numFmtId="167" fontId="5" fillId="3" borderId="0" pivotButton="0" quotePrefix="0" xfId="0"/>
    <xf numFmtId="0" fontId="12" fillId="0" borderId="0" applyAlignment="1" pivotButton="0" quotePrefix="0" xfId="0">
      <alignment horizontal="center"/>
    </xf>
    <xf numFmtId="0" fontId="1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thecaseforgrowth.com" TargetMode="External" Id="rId1"/><Relationship Type="http://schemas.openxmlformats.org/officeDocument/2006/relationships/hyperlink" Target="https://pioneerly.com/book-consultati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30" customWidth="1" min="13" max="13"/>
  </cols>
  <sheetData>
    <row r="1" ht="22" customHeight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 ht="25" customHeight="1">
      <c r="A4" s="3" t="inlineStr">
        <is>
          <t>LEAD CONVERSION TRACKER</t>
        </is>
      </c>
    </row>
    <row r="5">
      <c r="A5" s="4" t="inlineStr">
        <is>
          <t>Track leads from first contact through to signed client</t>
        </is>
      </c>
    </row>
    <row r="7">
      <c r="A7" s="5" t="inlineStr">
        <is>
          <t>Date</t>
        </is>
      </c>
      <c r="B7" s="5" t="inlineStr">
        <is>
          <t>Lead Name</t>
        </is>
      </c>
      <c r="C7" s="5" t="inlineStr">
        <is>
          <t>Contact</t>
        </is>
      </c>
      <c r="D7" s="5" t="inlineStr">
        <is>
          <t>Source</t>
        </is>
      </c>
      <c r="E7" s="5" t="inlineStr">
        <is>
          <t>Practice Area</t>
        </is>
      </c>
      <c r="F7" s="5" t="inlineStr">
        <is>
          <t>Stage</t>
        </is>
      </c>
      <c r="G7" s="5" t="inlineStr">
        <is>
          <t>Consultation Date</t>
        </is>
      </c>
      <c r="H7" s="5" t="inlineStr">
        <is>
          <t>Follow-Up</t>
        </is>
      </c>
      <c r="I7" s="5" t="inlineStr">
        <is>
          <t>Status</t>
        </is>
      </c>
      <c r="J7" s="5" t="inlineStr">
        <is>
          <t>Est. Case Value</t>
        </is>
      </c>
      <c r="K7" s="5" t="inlineStr">
        <is>
          <t>Probability %</t>
        </is>
      </c>
      <c r="L7" s="5" t="inlineStr">
        <is>
          <t>Weighted Value</t>
        </is>
      </c>
      <c r="M7" s="5" t="inlineStr">
        <is>
          <t>Notes</t>
        </is>
      </c>
    </row>
    <row r="8">
      <c r="A8" s="6" t="n">
        <v>45662</v>
      </c>
      <c r="B8" s="7" t="inlineStr">
        <is>
          <t>John Smith</t>
        </is>
      </c>
      <c r="C8" s="7" t="inlineStr">
        <is>
          <t>555-1234</t>
        </is>
      </c>
      <c r="D8" s="7" t="inlineStr">
        <is>
          <t>Google Ads</t>
        </is>
      </c>
      <c r="E8" s="7" t="inlineStr">
        <is>
          <t>Personal Injury</t>
        </is>
      </c>
      <c r="F8" s="7" t="inlineStr">
        <is>
          <t>Consultation</t>
        </is>
      </c>
      <c r="G8" s="6" t="n">
        <v>45667</v>
      </c>
      <c r="H8" s="6" t="n">
        <v>45668</v>
      </c>
      <c r="I8" s="7" t="inlineStr">
        <is>
          <t>Hot</t>
        </is>
      </c>
      <c r="J8" s="8" t="n">
        <v>25000</v>
      </c>
      <c r="K8" s="9" t="n">
        <v>0.6</v>
      </c>
      <c r="L8" s="10">
        <f>J8*K8</f>
        <v/>
      </c>
      <c r="M8" s="7" t="inlineStr">
        <is>
          <t>Consultation completed, very interested</t>
        </is>
      </c>
    </row>
    <row r="9">
      <c r="A9" s="6" t="n">
        <v>45663</v>
      </c>
      <c r="B9" s="7" t="inlineStr">
        <is>
          <t>Mary Johnson</t>
        </is>
      </c>
      <c r="C9" s="7" t="inlineStr">
        <is>
          <t>555-5678</t>
        </is>
      </c>
      <c r="D9" s="7" t="inlineStr">
        <is>
          <t>Referral</t>
        </is>
      </c>
      <c r="E9" s="7" t="inlineStr">
        <is>
          <t>Family Law</t>
        </is>
      </c>
      <c r="F9" s="7" t="inlineStr">
        <is>
          <t>Initial Contact</t>
        </is>
      </c>
      <c r="G9" s="7" t="n"/>
      <c r="H9" s="6" t="n">
        <v>45665</v>
      </c>
      <c r="I9" s="7" t="inlineStr">
        <is>
          <t>Contacted</t>
        </is>
      </c>
      <c r="J9" s="8" t="n">
        <v>10000</v>
      </c>
      <c r="K9" s="9" t="n">
        <v>0.3</v>
      </c>
      <c r="L9" s="10">
        <f>J9*K9</f>
        <v/>
      </c>
      <c r="M9" s="7" t="inlineStr">
        <is>
          <t>Qualified lead, scheduling consultation</t>
        </is>
      </c>
    </row>
    <row r="10">
      <c r="A10" s="6" t="n">
        <v>45664</v>
      </c>
      <c r="B10" s="7" t="inlineStr">
        <is>
          <t>Bob Wilson</t>
        </is>
      </c>
      <c r="C10" s="7" t="inlineStr">
        <is>
          <t>555-9012</t>
        </is>
      </c>
      <c r="D10" s="7" t="inlineStr">
        <is>
          <t>Website</t>
        </is>
      </c>
      <c r="E10" s="7" t="inlineStr">
        <is>
          <t>Criminal Defense</t>
        </is>
      </c>
      <c r="F10" s="7" t="inlineStr">
        <is>
          <t>Proposal Sent</t>
        </is>
      </c>
      <c r="G10" s="6" t="n">
        <v>45669</v>
      </c>
      <c r="H10" s="6" t="n">
        <v>45672</v>
      </c>
      <c r="I10" s="7" t="inlineStr">
        <is>
          <t>Warm</t>
        </is>
      </c>
      <c r="J10" s="8" t="n">
        <v>15000</v>
      </c>
      <c r="K10" s="9" t="n">
        <v>0.75</v>
      </c>
      <c r="L10" s="10">
        <f>J10*K10</f>
        <v/>
      </c>
      <c r="M10" s="7" t="inlineStr">
        <is>
          <t>Reviewing engagement letter</t>
        </is>
      </c>
    </row>
    <row r="11">
      <c r="A11" s="6" t="n">
        <v>45665</v>
      </c>
      <c r="B11" s="7" t="inlineStr">
        <is>
          <t>Sarah Davis</t>
        </is>
      </c>
      <c r="C11" s="7" t="inlineStr">
        <is>
          <t>555-3456</t>
        </is>
      </c>
      <c r="D11" s="7" t="inlineStr">
        <is>
          <t>Facebook</t>
        </is>
      </c>
      <c r="E11" s="7" t="inlineStr">
        <is>
          <t>Estate Planning</t>
        </is>
      </c>
      <c r="F11" s="7" t="inlineStr">
        <is>
          <t>Signed Client</t>
        </is>
      </c>
      <c r="G11" s="6" t="n">
        <v>45666</v>
      </c>
      <c r="H11" s="7" t="n"/>
      <c r="I11" s="7" t="inlineStr">
        <is>
          <t>Won</t>
        </is>
      </c>
      <c r="J11" s="8" t="n">
        <v>5000</v>
      </c>
      <c r="K11" s="9" t="n">
        <v>1</v>
      </c>
      <c r="L11" s="10">
        <f>J11*K11</f>
        <v/>
      </c>
      <c r="M11" s="7" t="inlineStr">
        <is>
          <t>Retainer agreement signed</t>
        </is>
      </c>
    </row>
    <row r="12">
      <c r="A12" s="6" t="n">
        <v>45666</v>
      </c>
      <c r="B12" s="7" t="inlineStr">
        <is>
          <t>Mike Brown</t>
        </is>
      </c>
      <c r="C12" s="7" t="inlineStr">
        <is>
          <t>555-7890</t>
        </is>
      </c>
      <c r="D12" s="7" t="inlineStr">
        <is>
          <t>Google Ads</t>
        </is>
      </c>
      <c r="E12" s="7" t="inlineStr">
        <is>
          <t>Personal Injury</t>
        </is>
      </c>
      <c r="F12" s="7" t="inlineStr">
        <is>
          <t>Initial Contact</t>
        </is>
      </c>
      <c r="G12" s="7" t="n"/>
      <c r="H12" s="6" t="n">
        <v>45669</v>
      </c>
      <c r="I12" s="7" t="inlineStr">
        <is>
          <t>New</t>
        </is>
      </c>
      <c r="J12" s="8" t="n">
        <v>30000</v>
      </c>
      <c r="K12" s="9" t="n">
        <v>0.2</v>
      </c>
      <c r="L12" s="10">
        <f>J12*K12</f>
        <v/>
      </c>
      <c r="M12" s="7" t="inlineStr">
        <is>
          <t>Just received inquiry</t>
        </is>
      </c>
    </row>
    <row r="13">
      <c r="A13" s="6" t="n"/>
      <c r="G13" s="6" t="n"/>
      <c r="H13" s="6" t="n"/>
      <c r="J13" s="8" t="n">
        <v>0</v>
      </c>
      <c r="K13" s="9" t="n">
        <v>0</v>
      </c>
      <c r="L13" s="10">
        <f>J13*K13</f>
        <v/>
      </c>
    </row>
    <row r="14">
      <c r="A14" s="6" t="n"/>
      <c r="G14" s="6" t="n"/>
      <c r="H14" s="6" t="n"/>
      <c r="J14" s="8" t="n">
        <v>0</v>
      </c>
      <c r="K14" s="9" t="n">
        <v>0</v>
      </c>
      <c r="L14" s="10">
        <f>J14*K14</f>
        <v/>
      </c>
    </row>
    <row r="15">
      <c r="A15" s="6" t="n"/>
      <c r="G15" s="6" t="n"/>
      <c r="H15" s="6" t="n"/>
      <c r="J15" s="8" t="n">
        <v>0</v>
      </c>
      <c r="K15" s="9" t="n">
        <v>0</v>
      </c>
      <c r="L15" s="10">
        <f>J15*K15</f>
        <v/>
      </c>
    </row>
    <row r="16">
      <c r="A16" s="6" t="n"/>
      <c r="G16" s="6" t="n"/>
      <c r="H16" s="6" t="n"/>
      <c r="J16" s="8" t="n">
        <v>0</v>
      </c>
      <c r="K16" s="9" t="n">
        <v>0</v>
      </c>
      <c r="L16" s="10">
        <f>J16*K16</f>
        <v/>
      </c>
    </row>
    <row r="17">
      <c r="A17" s="6" t="n"/>
      <c r="G17" s="6" t="n"/>
      <c r="H17" s="6" t="n"/>
      <c r="J17" s="8" t="n">
        <v>0</v>
      </c>
      <c r="K17" s="9" t="n">
        <v>0</v>
      </c>
      <c r="L17" s="10">
        <f>J17*K17</f>
        <v/>
      </c>
    </row>
    <row r="18">
      <c r="A18" s="6" t="n"/>
      <c r="G18" s="6" t="n"/>
      <c r="H18" s="6" t="n"/>
      <c r="J18" s="8" t="n">
        <v>0</v>
      </c>
      <c r="K18" s="9" t="n">
        <v>0</v>
      </c>
      <c r="L18" s="10">
        <f>J18*K18</f>
        <v/>
      </c>
    </row>
    <row r="19">
      <c r="A19" s="6" t="n"/>
      <c r="G19" s="6" t="n"/>
      <c r="H19" s="6" t="n"/>
      <c r="J19" s="8" t="n">
        <v>0</v>
      </c>
      <c r="K19" s="9" t="n">
        <v>0</v>
      </c>
      <c r="L19" s="10">
        <f>J19*K19</f>
        <v/>
      </c>
    </row>
    <row r="20">
      <c r="A20" s="6" t="n"/>
      <c r="G20" s="6" t="n"/>
      <c r="H20" s="6" t="n"/>
      <c r="J20" s="8" t="n">
        <v>0</v>
      </c>
      <c r="K20" s="9" t="n">
        <v>0</v>
      </c>
      <c r="L20" s="10">
        <f>J20*K20</f>
        <v/>
      </c>
    </row>
    <row r="21">
      <c r="A21" s="6" t="n"/>
      <c r="G21" s="6" t="n"/>
      <c r="H21" s="6" t="n"/>
      <c r="J21" s="8" t="n">
        <v>0</v>
      </c>
      <c r="K21" s="9" t="n">
        <v>0</v>
      </c>
      <c r="L21" s="10">
        <f>J21*K21</f>
        <v/>
      </c>
    </row>
    <row r="22">
      <c r="A22" s="6" t="n"/>
      <c r="G22" s="6" t="n"/>
      <c r="H22" s="6" t="n"/>
      <c r="J22" s="8" t="n">
        <v>0</v>
      </c>
      <c r="K22" s="9" t="n">
        <v>0</v>
      </c>
      <c r="L22" s="10">
        <f>J22*K22</f>
        <v/>
      </c>
    </row>
    <row r="23">
      <c r="A23" s="6" t="n"/>
      <c r="G23" s="6" t="n"/>
      <c r="H23" s="6" t="n"/>
      <c r="J23" s="8" t="n">
        <v>0</v>
      </c>
      <c r="K23" s="9" t="n">
        <v>0</v>
      </c>
      <c r="L23" s="10">
        <f>J23*K23</f>
        <v/>
      </c>
    </row>
    <row r="24">
      <c r="A24" s="6" t="n"/>
      <c r="G24" s="6" t="n"/>
      <c r="H24" s="6" t="n"/>
      <c r="J24" s="8" t="n">
        <v>0</v>
      </c>
      <c r="K24" s="9" t="n">
        <v>0</v>
      </c>
      <c r="L24" s="10">
        <f>J24*K24</f>
        <v/>
      </c>
    </row>
    <row r="25">
      <c r="A25" s="6" t="n"/>
      <c r="G25" s="6" t="n"/>
      <c r="H25" s="6" t="n"/>
      <c r="J25" s="8" t="n">
        <v>0</v>
      </c>
      <c r="K25" s="9" t="n">
        <v>0</v>
      </c>
      <c r="L25" s="10">
        <f>J25*K25</f>
        <v/>
      </c>
    </row>
    <row r="26">
      <c r="A26" s="6" t="n"/>
      <c r="G26" s="6" t="n"/>
      <c r="H26" s="6" t="n"/>
      <c r="J26" s="8" t="n">
        <v>0</v>
      </c>
      <c r="K26" s="9" t="n">
        <v>0</v>
      </c>
      <c r="L26" s="10">
        <f>J26*K26</f>
        <v/>
      </c>
    </row>
    <row r="27">
      <c r="A27" s="6" t="n"/>
      <c r="G27" s="6" t="n"/>
      <c r="H27" s="6" t="n"/>
      <c r="J27" s="8" t="n">
        <v>0</v>
      </c>
      <c r="K27" s="9" t="n">
        <v>0</v>
      </c>
      <c r="L27" s="10">
        <f>J27*K27</f>
        <v/>
      </c>
    </row>
    <row r="28">
      <c r="A28" s="6" t="n"/>
      <c r="G28" s="6" t="n"/>
      <c r="H28" s="6" t="n"/>
      <c r="J28" s="8" t="n">
        <v>0</v>
      </c>
      <c r="K28" s="9" t="n">
        <v>0</v>
      </c>
      <c r="L28" s="10">
        <f>J28*K28</f>
        <v/>
      </c>
    </row>
    <row r="29">
      <c r="A29" s="6" t="n"/>
      <c r="G29" s="6" t="n"/>
      <c r="H29" s="6" t="n"/>
      <c r="J29" s="8" t="n">
        <v>0</v>
      </c>
      <c r="K29" s="9" t="n">
        <v>0</v>
      </c>
      <c r="L29" s="10">
        <f>J29*K29</f>
        <v/>
      </c>
    </row>
    <row r="30">
      <c r="A30" s="6" t="n"/>
      <c r="G30" s="6" t="n"/>
      <c r="H30" s="6" t="n"/>
      <c r="J30" s="8" t="n">
        <v>0</v>
      </c>
      <c r="K30" s="9" t="n">
        <v>0</v>
      </c>
      <c r="L30" s="10">
        <f>J30*K30</f>
        <v/>
      </c>
    </row>
    <row r="31">
      <c r="A31" s="6" t="n"/>
      <c r="G31" s="6" t="n"/>
      <c r="H31" s="6" t="n"/>
      <c r="J31" s="8" t="n">
        <v>0</v>
      </c>
      <c r="K31" s="9" t="n">
        <v>0</v>
      </c>
      <c r="L31" s="10">
        <f>J31*K31</f>
        <v/>
      </c>
    </row>
    <row r="32">
      <c r="A32" s="6" t="n"/>
      <c r="G32" s="6" t="n"/>
      <c r="H32" s="6" t="n"/>
      <c r="J32" s="8" t="n">
        <v>0</v>
      </c>
      <c r="K32" s="9" t="n">
        <v>0</v>
      </c>
      <c r="L32" s="10">
        <f>J32*K32</f>
        <v/>
      </c>
    </row>
    <row r="33">
      <c r="A33" s="6" t="n"/>
      <c r="G33" s="6" t="n"/>
      <c r="H33" s="6" t="n"/>
      <c r="J33" s="8" t="n">
        <v>0</v>
      </c>
      <c r="K33" s="9" t="n">
        <v>0</v>
      </c>
      <c r="L33" s="10">
        <f>J33*K33</f>
        <v/>
      </c>
    </row>
    <row r="34">
      <c r="A34" s="6" t="n"/>
      <c r="G34" s="6" t="n"/>
      <c r="H34" s="6" t="n"/>
      <c r="J34" s="8" t="n">
        <v>0</v>
      </c>
      <c r="K34" s="9" t="n">
        <v>0</v>
      </c>
      <c r="L34" s="10">
        <f>J34*K34</f>
        <v/>
      </c>
    </row>
    <row r="35">
      <c r="A35" s="6" t="n"/>
      <c r="G35" s="6" t="n"/>
      <c r="H35" s="6" t="n"/>
      <c r="J35" s="8" t="n">
        <v>0</v>
      </c>
      <c r="K35" s="9" t="n">
        <v>0</v>
      </c>
      <c r="L35" s="10">
        <f>J35*K35</f>
        <v/>
      </c>
    </row>
    <row r="36">
      <c r="A36" s="6" t="n"/>
      <c r="G36" s="6" t="n"/>
      <c r="H36" s="6" t="n"/>
      <c r="J36" s="8" t="n">
        <v>0</v>
      </c>
      <c r="K36" s="9" t="n">
        <v>0</v>
      </c>
      <c r="L36" s="10">
        <f>J36*K36</f>
        <v/>
      </c>
    </row>
    <row r="37">
      <c r="A37" s="6" t="n"/>
      <c r="G37" s="6" t="n"/>
      <c r="H37" s="6" t="n"/>
      <c r="J37" s="8" t="n">
        <v>0</v>
      </c>
      <c r="K37" s="9" t="n">
        <v>0</v>
      </c>
      <c r="L37" s="10">
        <f>J37*K37</f>
        <v/>
      </c>
    </row>
    <row r="38">
      <c r="A38" s="6" t="n"/>
      <c r="G38" s="6" t="n"/>
      <c r="H38" s="6" t="n"/>
      <c r="J38" s="8" t="n">
        <v>0</v>
      </c>
      <c r="K38" s="9" t="n">
        <v>0</v>
      </c>
      <c r="L38" s="10">
        <f>J38*K38</f>
        <v/>
      </c>
    </row>
    <row r="39">
      <c r="A39" s="6" t="n"/>
      <c r="G39" s="6" t="n"/>
      <c r="H39" s="6" t="n"/>
      <c r="J39" s="8" t="n">
        <v>0</v>
      </c>
      <c r="K39" s="9" t="n">
        <v>0</v>
      </c>
      <c r="L39" s="10">
        <f>J39*K39</f>
        <v/>
      </c>
    </row>
    <row r="40">
      <c r="A40" s="6" t="n"/>
      <c r="G40" s="6" t="n"/>
      <c r="H40" s="6" t="n"/>
      <c r="J40" s="8" t="n">
        <v>0</v>
      </c>
      <c r="K40" s="9" t="n">
        <v>0</v>
      </c>
      <c r="L40" s="10">
        <f>J40*K40</f>
        <v/>
      </c>
    </row>
    <row r="41">
      <c r="A41" s="6" t="n"/>
      <c r="G41" s="6" t="n"/>
      <c r="H41" s="6" t="n"/>
      <c r="J41" s="8" t="n">
        <v>0</v>
      </c>
      <c r="K41" s="9" t="n">
        <v>0</v>
      </c>
      <c r="L41" s="10">
        <f>J41*K41</f>
        <v/>
      </c>
    </row>
    <row r="42">
      <c r="A42" s="6" t="n"/>
      <c r="G42" s="6" t="n"/>
      <c r="H42" s="6" t="n"/>
      <c r="J42" s="8" t="n">
        <v>0</v>
      </c>
      <c r="K42" s="9" t="n">
        <v>0</v>
      </c>
      <c r="L42" s="10">
        <f>J42*K42</f>
        <v/>
      </c>
    </row>
    <row r="43">
      <c r="A43" s="6" t="n"/>
      <c r="G43" s="6" t="n"/>
      <c r="H43" s="6" t="n"/>
      <c r="J43" s="8" t="n">
        <v>0</v>
      </c>
      <c r="K43" s="9" t="n">
        <v>0</v>
      </c>
      <c r="L43" s="10">
        <f>J43*K43</f>
        <v/>
      </c>
    </row>
    <row r="44">
      <c r="A44" s="6" t="n"/>
      <c r="G44" s="6" t="n"/>
      <c r="H44" s="6" t="n"/>
      <c r="J44" s="8" t="n">
        <v>0</v>
      </c>
      <c r="K44" s="9" t="n">
        <v>0</v>
      </c>
      <c r="L44" s="10">
        <f>J44*K44</f>
        <v/>
      </c>
    </row>
    <row r="45">
      <c r="A45" s="6" t="n"/>
      <c r="G45" s="6" t="n"/>
      <c r="H45" s="6" t="n"/>
      <c r="J45" s="8" t="n">
        <v>0</v>
      </c>
      <c r="K45" s="9" t="n">
        <v>0</v>
      </c>
      <c r="L45" s="10">
        <f>J45*K45</f>
        <v/>
      </c>
    </row>
    <row r="46">
      <c r="A46" s="6" t="n"/>
      <c r="G46" s="6" t="n"/>
      <c r="H46" s="6" t="n"/>
      <c r="J46" s="8" t="n">
        <v>0</v>
      </c>
      <c r="K46" s="9" t="n">
        <v>0</v>
      </c>
      <c r="L46" s="10">
        <f>J46*K46</f>
        <v/>
      </c>
    </row>
    <row r="47">
      <c r="A47" s="6" t="n"/>
      <c r="G47" s="6" t="n"/>
      <c r="H47" s="6" t="n"/>
      <c r="J47" s="8" t="n">
        <v>0</v>
      </c>
      <c r="K47" s="9" t="n">
        <v>0</v>
      </c>
      <c r="L47" s="10">
        <f>J47*K47</f>
        <v/>
      </c>
    </row>
    <row r="48">
      <c r="A48" s="6" t="n"/>
      <c r="G48" s="6" t="n"/>
      <c r="H48" s="6" t="n"/>
      <c r="J48" s="8" t="n">
        <v>0</v>
      </c>
      <c r="K48" s="9" t="n">
        <v>0</v>
      </c>
      <c r="L48" s="10">
        <f>J48*K48</f>
        <v/>
      </c>
    </row>
    <row r="49">
      <c r="A49" s="6" t="n"/>
      <c r="G49" s="6" t="n"/>
      <c r="H49" s="6" t="n"/>
      <c r="J49" s="8" t="n">
        <v>0</v>
      </c>
      <c r="K49" s="9" t="n">
        <v>0</v>
      </c>
      <c r="L49" s="10">
        <f>J49*K49</f>
        <v/>
      </c>
    </row>
    <row r="50">
      <c r="A50" s="6" t="n"/>
      <c r="G50" s="6" t="n"/>
      <c r="H50" s="6" t="n"/>
      <c r="J50" s="8" t="n">
        <v>0</v>
      </c>
      <c r="K50" s="9" t="n">
        <v>0</v>
      </c>
      <c r="L50" s="10">
        <f>J50*K50</f>
        <v/>
      </c>
    </row>
    <row r="51">
      <c r="A51" s="6" t="n"/>
      <c r="G51" s="6" t="n"/>
      <c r="H51" s="6" t="n"/>
      <c r="J51" s="8" t="n">
        <v>0</v>
      </c>
      <c r="K51" s="9" t="n">
        <v>0</v>
      </c>
      <c r="L51" s="10">
        <f>J51*K51</f>
        <v/>
      </c>
    </row>
    <row r="52">
      <c r="A52" s="6" t="n"/>
      <c r="G52" s="6" t="n"/>
      <c r="H52" s="6" t="n"/>
      <c r="J52" s="8" t="n">
        <v>0</v>
      </c>
      <c r="K52" s="9" t="n">
        <v>0</v>
      </c>
      <c r="L52" s="10">
        <f>J52*K52</f>
        <v/>
      </c>
    </row>
    <row r="53">
      <c r="A53" s="6" t="n"/>
      <c r="G53" s="6" t="n"/>
      <c r="H53" s="6" t="n"/>
      <c r="J53" s="8" t="n">
        <v>0</v>
      </c>
      <c r="K53" s="9" t="n">
        <v>0</v>
      </c>
      <c r="L53" s="10">
        <f>J53*K53</f>
        <v/>
      </c>
    </row>
    <row r="54">
      <c r="A54" s="6" t="n"/>
      <c r="G54" s="6" t="n"/>
      <c r="H54" s="6" t="n"/>
      <c r="J54" s="8" t="n">
        <v>0</v>
      </c>
      <c r="K54" s="9" t="n">
        <v>0</v>
      </c>
      <c r="L54" s="10">
        <f>J54*K54</f>
        <v/>
      </c>
    </row>
    <row r="55">
      <c r="A55" s="6" t="n"/>
      <c r="G55" s="6" t="n"/>
      <c r="H55" s="6" t="n"/>
      <c r="J55" s="8" t="n">
        <v>0</v>
      </c>
      <c r="K55" s="9" t="n">
        <v>0</v>
      </c>
      <c r="L55" s="10">
        <f>J55*K55</f>
        <v/>
      </c>
    </row>
    <row r="56">
      <c r="A56" s="6" t="n"/>
      <c r="G56" s="6" t="n"/>
      <c r="H56" s="6" t="n"/>
      <c r="J56" s="8" t="n">
        <v>0</v>
      </c>
      <c r="K56" s="9" t="n">
        <v>0</v>
      </c>
      <c r="L56" s="10">
        <f>J56*K56</f>
        <v/>
      </c>
    </row>
    <row r="57">
      <c r="A57" s="6" t="n"/>
      <c r="G57" s="6" t="n"/>
      <c r="H57" s="6" t="n"/>
      <c r="J57" s="8" t="n">
        <v>0</v>
      </c>
      <c r="K57" s="9" t="n">
        <v>0</v>
      </c>
      <c r="L57" s="10">
        <f>J57*K57</f>
        <v/>
      </c>
    </row>
    <row r="59">
      <c r="A59" s="11" t="inlineStr">
        <is>
          <t>TOTALS</t>
        </is>
      </c>
      <c r="B59" s="12">
        <f>COUNTA(B8:B57)</f>
        <v/>
      </c>
      <c r="J59" s="13">
        <f>SUM(J8:J57)</f>
        <v/>
      </c>
      <c r="L59" s="13">
        <f>SUM(L8:L57)</f>
        <v/>
      </c>
    </row>
  </sheetData>
  <mergeCells count="4">
    <mergeCell ref="A4:M4"/>
    <mergeCell ref="A2:M2"/>
    <mergeCell ref="A1:M1"/>
    <mergeCell ref="A5:M5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6" customWidth="1" min="4" max="4"/>
    <col width="30" customWidth="1" min="5" max="5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14" t="inlineStr">
        <is>
          <t>CONVERSION FUNNEL ANALYSIS</t>
        </is>
      </c>
    </row>
    <row r="6">
      <c r="A6" s="15" t="inlineStr">
        <is>
          <t>Funnel Stage</t>
        </is>
      </c>
      <c r="B6" s="15" t="inlineStr">
        <is>
          <t>Count</t>
        </is>
      </c>
      <c r="C6" s="15" t="inlineStr">
        <is>
          <t>Conversion Rate</t>
        </is>
      </c>
      <c r="D6" s="15" t="inlineStr">
        <is>
          <t>Drop-off Rate</t>
        </is>
      </c>
      <c r="E6" s="15" t="inlineStr">
        <is>
          <t>Notes</t>
        </is>
      </c>
    </row>
    <row r="7">
      <c r="A7" s="16" t="inlineStr">
        <is>
          <t>Total Leads</t>
        </is>
      </c>
      <c r="B7" s="17">
        <f>COUNTA('Lead Tracker'!B8:B58)</f>
        <v/>
      </c>
      <c r="C7" s="18" t="inlineStr"/>
      <c r="D7" s="18" t="inlineStr"/>
      <c r="E7" s="19" t="inlineStr">
        <is>
          <t>All inquiries received</t>
        </is>
      </c>
    </row>
    <row r="8">
      <c r="A8" s="16" t="inlineStr">
        <is>
          <t>Initial Contact Made</t>
        </is>
      </c>
      <c r="B8" s="17">
        <f>COUNTIFS('Lead Tracker'!F8:F58,"Initial Contact",'Lead Tracker'!F8:F58,"Consultation",'Lead Tracker'!F8:F58,"Proposal Sent",'Lead Tracker'!F8:F58,"Signed Client")</f>
        <v/>
      </c>
      <c r="C8" s="18">
        <f>B8/B7</f>
        <v/>
      </c>
      <c r="D8" s="18">
        <f>1-C8</f>
        <v/>
      </c>
      <c r="E8" s="19" t="inlineStr">
        <is>
          <t>Successfully contacted</t>
        </is>
      </c>
    </row>
    <row r="9">
      <c r="A9" s="16" t="inlineStr">
        <is>
          <t>Consultation Scheduled</t>
        </is>
      </c>
      <c r="B9" s="17">
        <f>COUNTIFS('Lead Tracker'!F8:F58,"Consultation",'Lead Tracker'!F8:F58,"Proposal Sent",'Lead Tracker'!F8:F58,"Signed Client")</f>
        <v/>
      </c>
      <c r="C9" s="18">
        <f>B9/B7</f>
        <v/>
      </c>
      <c r="D9" s="18">
        <f>1-C9</f>
        <v/>
      </c>
      <c r="E9" s="19" t="inlineStr">
        <is>
          <t>Appointment set</t>
        </is>
      </c>
    </row>
    <row r="10">
      <c r="A10" s="16" t="inlineStr">
        <is>
          <t>Proposal Sent</t>
        </is>
      </c>
      <c r="B10" s="17">
        <f>COUNTIFS('Lead Tracker'!F8:F58,"Proposal Sent",'Lead Tracker'!F8:F58,"Signed Client")</f>
        <v/>
      </c>
      <c r="C10" s="18">
        <f>B10/B7</f>
        <v/>
      </c>
      <c r="D10" s="18">
        <f>1-C10</f>
        <v/>
      </c>
      <c r="E10" s="19" t="inlineStr">
        <is>
          <t>Engagement letter sent</t>
        </is>
      </c>
    </row>
    <row r="11">
      <c r="A11" s="16" t="inlineStr">
        <is>
          <t>Signed Client</t>
        </is>
      </c>
      <c r="B11" s="17">
        <f>COUNTIF('Lead Tracker'!F8:F58,"Signed Client")</f>
        <v/>
      </c>
      <c r="C11" s="18">
        <f>B11/B7</f>
        <v/>
      </c>
      <c r="D11" s="18">
        <f>1-C11</f>
        <v/>
      </c>
      <c r="E11" s="19" t="inlineStr">
        <is>
          <t>Successfully retained</t>
        </is>
      </c>
    </row>
    <row r="14">
      <c r="A14" s="20" t="inlineStr">
        <is>
          <t>KEY METRICS</t>
        </is>
      </c>
    </row>
    <row r="15">
      <c r="A15" s="16" t="inlineStr">
        <is>
          <t>Overall Conversion Rate:</t>
        </is>
      </c>
      <c r="B15" s="18">
        <f>B11/B7</f>
        <v/>
      </c>
    </row>
    <row r="16">
      <c r="A16" s="16" t="inlineStr">
        <is>
          <t>Avg. Days to Close:</t>
        </is>
      </c>
      <c r="B16" s="21">
        <f>AVERAGE(IF('Lead Tracker'!I8:I58="Won",'Lead Tracker'!G8:G58-'Lead Tracker'!A8:A58))</f>
        <v/>
      </c>
    </row>
    <row r="17">
      <c r="A17" s="16" t="inlineStr">
        <is>
          <t>Pipeline Value:</t>
        </is>
      </c>
      <c r="B17" s="10">
        <f>'Lead Tracker'!L59</f>
        <v/>
      </c>
    </row>
  </sheetData>
  <mergeCells count="3">
    <mergeCell ref="A2:E2"/>
    <mergeCell ref="A1:E1"/>
    <mergeCell ref="A4:E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14" t="inlineStr">
        <is>
          <t>LEAD SOURCE PERFORMANCE</t>
        </is>
      </c>
    </row>
    <row r="6">
      <c r="A6" s="15" t="inlineStr">
        <is>
          <t>Lead Source</t>
        </is>
      </c>
      <c r="B6" s="15" t="inlineStr">
        <is>
          <t>Total Leads</t>
        </is>
      </c>
      <c r="C6" s="15" t="inlineStr">
        <is>
          <t>Signed Clients</t>
        </is>
      </c>
      <c r="D6" s="15" t="inlineStr">
        <is>
          <t>Conversion Rate</t>
        </is>
      </c>
      <c r="E6" s="15" t="inlineStr">
        <is>
          <t>Total Value</t>
        </is>
      </c>
      <c r="F6" s="15" t="inlineStr">
        <is>
          <t>Avg. Value</t>
        </is>
      </c>
    </row>
    <row r="7">
      <c r="A7" s="16" t="inlineStr">
        <is>
          <t>Google Ads</t>
        </is>
      </c>
      <c r="B7" s="17">
        <f>COUNTIF('Lead Tracker'!D8:D58,A7)</f>
        <v/>
      </c>
      <c r="C7" s="17">
        <f>COUNTIFS('Lead Tracker'!D8:D58,A7,'Lead Tracker'!I8:I58,"Won")</f>
        <v/>
      </c>
      <c r="D7" s="18">
        <f>IF(B7&gt;0,C7/B7,0)</f>
        <v/>
      </c>
      <c r="E7" s="10">
        <f>SUMIFS('Lead Tracker'!J8:J58,'Lead Tracker'!D8:D58,A7,'Lead Tracker'!I8:I58,"Won")</f>
        <v/>
      </c>
      <c r="F7" s="10">
        <f>IF(C7&gt;0,E7/C7,0)</f>
        <v/>
      </c>
    </row>
    <row r="8">
      <c r="A8" s="16" t="inlineStr">
        <is>
          <t>Referral</t>
        </is>
      </c>
      <c r="B8" s="17">
        <f>COUNTIF('Lead Tracker'!D8:D58,A8)</f>
        <v/>
      </c>
      <c r="C8" s="17">
        <f>COUNTIFS('Lead Tracker'!D8:D58,A8,'Lead Tracker'!I8:I58,"Won")</f>
        <v/>
      </c>
      <c r="D8" s="18">
        <f>IF(B8&gt;0,C8/B8,0)</f>
        <v/>
      </c>
      <c r="E8" s="10">
        <f>SUMIFS('Lead Tracker'!J8:J58,'Lead Tracker'!D8:D58,A8,'Lead Tracker'!I8:I58,"Won")</f>
        <v/>
      </c>
      <c r="F8" s="10">
        <f>IF(C8&gt;0,E8/C8,0)</f>
        <v/>
      </c>
    </row>
    <row r="9">
      <c r="A9" s="16" t="inlineStr">
        <is>
          <t>Website</t>
        </is>
      </c>
      <c r="B9" s="17">
        <f>COUNTIF('Lead Tracker'!D8:D58,A9)</f>
        <v/>
      </c>
      <c r="C9" s="17">
        <f>COUNTIFS('Lead Tracker'!D8:D58,A9,'Lead Tracker'!I8:I58,"Won")</f>
        <v/>
      </c>
      <c r="D9" s="18">
        <f>IF(B9&gt;0,C9/B9,0)</f>
        <v/>
      </c>
      <c r="E9" s="10">
        <f>SUMIFS('Lead Tracker'!J8:J58,'Lead Tracker'!D8:D58,A9,'Lead Tracker'!I8:I58,"Won")</f>
        <v/>
      </c>
      <c r="F9" s="10">
        <f>IF(C9&gt;0,E9/C9,0)</f>
        <v/>
      </c>
    </row>
    <row r="10">
      <c r="A10" s="16" t="inlineStr">
        <is>
          <t>Facebook</t>
        </is>
      </c>
      <c r="B10" s="17">
        <f>COUNTIF('Lead Tracker'!D8:D58,A10)</f>
        <v/>
      </c>
      <c r="C10" s="17">
        <f>COUNTIFS('Lead Tracker'!D8:D58,A10,'Lead Tracker'!I8:I58,"Won")</f>
        <v/>
      </c>
      <c r="D10" s="18">
        <f>IF(B10&gt;0,C10/B10,0)</f>
        <v/>
      </c>
      <c r="E10" s="10">
        <f>SUMIFS('Lead Tracker'!J8:J58,'Lead Tracker'!D8:D58,A10,'Lead Tracker'!I8:I58,"Won")</f>
        <v/>
      </c>
      <c r="F10" s="10">
        <f>IF(C10&gt;0,E10/C10,0)</f>
        <v/>
      </c>
    </row>
    <row r="11">
      <c r="A11" s="16" t="inlineStr">
        <is>
          <t>LinkedIn</t>
        </is>
      </c>
      <c r="B11" s="17">
        <f>COUNTIF('Lead Tracker'!D8:D58,A11)</f>
        <v/>
      </c>
      <c r="C11" s="17">
        <f>COUNTIFS('Lead Tracker'!D8:D58,A11,'Lead Tracker'!I8:I58,"Won")</f>
        <v/>
      </c>
      <c r="D11" s="18">
        <f>IF(B11&gt;0,C11/B11,0)</f>
        <v/>
      </c>
      <c r="E11" s="10">
        <f>SUMIFS('Lead Tracker'!J8:J58,'Lead Tracker'!D8:D58,A11,'Lead Tracker'!I8:I58,"Won")</f>
        <v/>
      </c>
      <c r="F11" s="10">
        <f>IF(C11&gt;0,E11/C11,0)</f>
        <v/>
      </c>
    </row>
    <row r="12">
      <c r="A12" s="16" t="inlineStr">
        <is>
          <t>Other</t>
        </is>
      </c>
      <c r="B12" s="17">
        <f>COUNTIF('Lead Tracker'!D8:D58,A12)</f>
        <v/>
      </c>
      <c r="C12" s="17">
        <f>COUNTIFS('Lead Tracker'!D8:D58,A12,'Lead Tracker'!I8:I58,"Won")</f>
        <v/>
      </c>
      <c r="D12" s="18">
        <f>IF(B12&gt;0,C12/B12,0)</f>
        <v/>
      </c>
      <c r="E12" s="10">
        <f>SUMIFS('Lead Tracker'!J8:J58,'Lead Tracker'!D8:D58,A12,'Lead Tracker'!I8:I58,"Won")</f>
        <v/>
      </c>
      <c r="F12" s="10">
        <f>IF(C12&gt;0,E12/C12,0)</f>
        <v/>
      </c>
    </row>
    <row r="13">
      <c r="A13" s="11" t="inlineStr">
        <is>
          <t>TOTAL</t>
        </is>
      </c>
      <c r="B13" s="12">
        <f>SUM(B7:B12)</f>
        <v/>
      </c>
      <c r="C13" s="12">
        <f>SUM(C7:C12)</f>
        <v/>
      </c>
      <c r="D13" s="22">
        <f>C13/B13</f>
        <v/>
      </c>
      <c r="E13" s="13">
        <f>SUM(E7:E12)</f>
        <v/>
      </c>
      <c r="F13" s="13">
        <f>E13/C13</f>
        <v/>
      </c>
    </row>
  </sheetData>
  <mergeCells count="3">
    <mergeCell ref="A2:F2"/>
    <mergeCell ref="A1:F1"/>
    <mergeCell ref="A4:F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14" t="inlineStr">
        <is>
          <t>MONTHLY PERFORMANCE SUMMARY</t>
        </is>
      </c>
    </row>
    <row r="6">
      <c r="A6" s="23" t="inlineStr">
        <is>
          <t>Update dates in formulas to match your tracking period</t>
        </is>
      </c>
    </row>
    <row r="8">
      <c r="A8" s="15" t="inlineStr">
        <is>
          <t>Month</t>
        </is>
      </c>
      <c r="B8" s="15" t="inlineStr">
        <is>
          <t>Total Leads</t>
        </is>
      </c>
      <c r="C8" s="15" t="inlineStr">
        <is>
          <t>Consultations</t>
        </is>
      </c>
      <c r="D8" s="15" t="inlineStr">
        <is>
          <t>Signed Clients</t>
        </is>
      </c>
      <c r="E8" s="15" t="inlineStr">
        <is>
          <t>Conversion Rate</t>
        </is>
      </c>
      <c r="F8" s="15" t="inlineStr">
        <is>
          <t>Revenue</t>
        </is>
      </c>
    </row>
    <row r="9">
      <c r="A9" s="7" t="inlineStr">
        <is>
          <t>January 2025</t>
        </is>
      </c>
      <c r="B9" s="7" t="n">
        <v>0</v>
      </c>
      <c r="C9" s="7" t="n">
        <v>0</v>
      </c>
      <c r="D9" s="7" t="n">
        <v>0</v>
      </c>
      <c r="E9" s="18">
        <f>IF(B9&gt;0,D9/B9,0)</f>
        <v/>
      </c>
      <c r="F9" s="8" t="n">
        <v>0</v>
      </c>
    </row>
    <row r="10">
      <c r="A10" s="7" t="inlineStr">
        <is>
          <t>February 2025</t>
        </is>
      </c>
      <c r="B10" s="7" t="n">
        <v>0</v>
      </c>
      <c r="C10" s="7" t="n">
        <v>0</v>
      </c>
      <c r="D10" s="7" t="n">
        <v>0</v>
      </c>
      <c r="E10" s="18">
        <f>IF(B10&gt;0,D10/B10,0)</f>
        <v/>
      </c>
      <c r="F10" s="8" t="n">
        <v>0</v>
      </c>
    </row>
    <row r="11">
      <c r="A11" s="7" t="inlineStr">
        <is>
          <t>March 2025</t>
        </is>
      </c>
      <c r="B11" s="7" t="n">
        <v>0</v>
      </c>
      <c r="C11" s="7" t="n">
        <v>0</v>
      </c>
      <c r="D11" s="7" t="n">
        <v>0</v>
      </c>
      <c r="E11" s="18">
        <f>IF(B11&gt;0,D11/B11,0)</f>
        <v/>
      </c>
      <c r="F11" s="8" t="n">
        <v>0</v>
      </c>
    </row>
    <row r="12">
      <c r="A12" s="7" t="inlineStr">
        <is>
          <t>April 2025</t>
        </is>
      </c>
      <c r="B12" s="7" t="n">
        <v>0</v>
      </c>
      <c r="C12" s="7" t="n">
        <v>0</v>
      </c>
      <c r="D12" s="7" t="n">
        <v>0</v>
      </c>
      <c r="E12" s="18">
        <f>IF(B12&gt;0,D12/B12,0)</f>
        <v/>
      </c>
      <c r="F12" s="8" t="n">
        <v>0</v>
      </c>
    </row>
    <row r="13">
      <c r="A13" s="7" t="inlineStr">
        <is>
          <t>May 2025</t>
        </is>
      </c>
      <c r="B13" s="7" t="n">
        <v>0</v>
      </c>
      <c r="C13" s="7" t="n">
        <v>0</v>
      </c>
      <c r="D13" s="7" t="n">
        <v>0</v>
      </c>
      <c r="E13" s="18">
        <f>IF(B13&gt;0,D13/B13,0)</f>
        <v/>
      </c>
      <c r="F13" s="8" t="n">
        <v>0</v>
      </c>
    </row>
    <row r="14">
      <c r="A14" s="7" t="inlineStr">
        <is>
          <t>June 2025</t>
        </is>
      </c>
      <c r="B14" s="7" t="n">
        <v>0</v>
      </c>
      <c r="C14" s="7" t="n">
        <v>0</v>
      </c>
      <c r="D14" s="7" t="n">
        <v>0</v>
      </c>
      <c r="E14" s="18">
        <f>IF(B14&gt;0,D14/B14,0)</f>
        <v/>
      </c>
      <c r="F14" s="8" t="n">
        <v>0</v>
      </c>
    </row>
  </sheetData>
  <mergeCells count="4">
    <mergeCell ref="A2:F2"/>
    <mergeCell ref="A6:F6"/>
    <mergeCell ref="A1:F1"/>
    <mergeCell ref="A4:F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24" t="inlineStr"/>
    </row>
    <row r="2">
      <c r="A2" s="25" t="inlineStr">
        <is>
          <t>HOW TO USE THIS TRACKER:</t>
        </is>
      </c>
    </row>
    <row r="3">
      <c r="A3" t="inlineStr"/>
    </row>
    <row r="4">
      <c r="A4" t="inlineStr">
        <is>
          <t>1. Lead Tracker Sheet:</t>
        </is>
      </c>
    </row>
    <row r="5">
      <c r="A5" t="inlineStr">
        <is>
          <t xml:space="preserve">   • Enter each new lead with contact details (Blue cells)</t>
        </is>
      </c>
    </row>
    <row r="6">
      <c r="A6" t="inlineStr">
        <is>
          <t xml:space="preserve">   • Select lead source from dropdown</t>
        </is>
      </c>
    </row>
    <row r="7">
      <c r="A7" t="inlineStr">
        <is>
          <t xml:space="preserve">   • Update stage as lead progresses through funnel</t>
        </is>
      </c>
    </row>
    <row r="8">
      <c r="A8" t="inlineStr">
        <is>
          <t xml:space="preserve">   • Estimate case value and probability of closing</t>
        </is>
      </c>
    </row>
    <row r="9">
      <c r="A9" t="inlineStr">
        <is>
          <t xml:space="preserve">   • Track follow-up dates to stay organized</t>
        </is>
      </c>
    </row>
    <row r="10">
      <c r="A10" t="inlineStr">
        <is>
          <t xml:space="preserve">   • Weighted value calculates automatically</t>
        </is>
      </c>
    </row>
    <row r="11">
      <c r="A11" t="inlineStr"/>
    </row>
    <row r="12">
      <c r="A12" t="inlineStr">
        <is>
          <t>2. Conversion Funnel Sheet:</t>
        </is>
      </c>
    </row>
    <row r="13">
      <c r="A13" t="inlineStr">
        <is>
          <t xml:space="preserve">   • View conversion rates at each stage</t>
        </is>
      </c>
    </row>
    <row r="14">
      <c r="A14" t="inlineStr">
        <is>
          <t xml:space="preserve">   • Identify bottlenecks in your process</t>
        </is>
      </c>
    </row>
    <row r="15">
      <c r="A15" t="inlineStr">
        <is>
          <t xml:space="preserve">   • Track drop-off rates</t>
        </is>
      </c>
    </row>
    <row r="16">
      <c r="A16" t="inlineStr">
        <is>
          <t xml:space="preserve">   • Updates automatically from Lead Tracker</t>
        </is>
      </c>
    </row>
    <row r="17">
      <c r="A17" t="inlineStr"/>
    </row>
    <row r="18">
      <c r="A18" t="inlineStr">
        <is>
          <t>3. Source Performance Sheet:</t>
        </is>
      </c>
    </row>
    <row r="19">
      <c r="A19" t="inlineStr">
        <is>
          <t xml:space="preserve">   • Compare lead quality by source</t>
        </is>
      </c>
    </row>
    <row r="20">
      <c r="A20" t="inlineStr">
        <is>
          <t xml:space="preserve">   • Calculate ROI for each marketing channel</t>
        </is>
      </c>
    </row>
    <row r="21">
      <c r="A21" t="inlineStr">
        <is>
          <t xml:space="preserve">   • Identify best-performing sources</t>
        </is>
      </c>
    </row>
    <row r="22">
      <c r="A22" t="inlineStr">
        <is>
          <t xml:space="preserve">   • Optimize marketing budget allocation</t>
        </is>
      </c>
    </row>
    <row r="23">
      <c r="A23" t="inlineStr"/>
    </row>
    <row r="24">
      <c r="A24" t="inlineStr">
        <is>
          <t>4. Monthly Summary Sheet:</t>
        </is>
      </c>
    </row>
    <row r="25">
      <c r="A25" t="inlineStr">
        <is>
          <t xml:space="preserve">   • Track performance trends over time</t>
        </is>
      </c>
    </row>
    <row r="26">
      <c r="A26" t="inlineStr">
        <is>
          <t xml:space="preserve">   • Update monthly metrics manually</t>
        </is>
      </c>
    </row>
    <row r="27">
      <c r="A27" t="inlineStr">
        <is>
          <t xml:space="preserve">   • Monitor growth month-over-month</t>
        </is>
      </c>
    </row>
    <row r="28">
      <c r="A28" t="inlineStr"/>
    </row>
    <row r="29">
      <c r="A29" s="25" t="inlineStr">
        <is>
          <t>LEAD STAGES:</t>
        </is>
      </c>
    </row>
    <row r="30">
      <c r="A30" t="inlineStr">
        <is>
          <t xml:space="preserve">   • Initial Contact: First touch with prospect</t>
        </is>
      </c>
    </row>
    <row r="31">
      <c r="A31" t="inlineStr">
        <is>
          <t xml:space="preserve">   • Consultation: Meeting scheduled</t>
        </is>
      </c>
    </row>
    <row r="32">
      <c r="A32" t="inlineStr">
        <is>
          <t xml:space="preserve">   • Proposal Sent: Engagement letter provided</t>
        </is>
      </c>
    </row>
    <row r="33">
      <c r="A33" t="inlineStr">
        <is>
          <t xml:space="preserve">   • Signed Client: Retained successfully</t>
        </is>
      </c>
    </row>
    <row r="34">
      <c r="A34" t="inlineStr"/>
    </row>
    <row r="35">
      <c r="A35" t="inlineStr">
        <is>
          <t>PROBABILITY GUIDELINES:</t>
        </is>
      </c>
    </row>
    <row r="36">
      <c r="A36" t="inlineStr">
        <is>
          <t xml:space="preserve">   • New/Initial Contact: 10-20% probability</t>
        </is>
      </c>
    </row>
    <row r="37">
      <c r="A37" t="inlineStr">
        <is>
          <t xml:space="preserve">   • Contacted/Qualified: 30-40% probability</t>
        </is>
      </c>
    </row>
    <row r="38">
      <c r="A38" t="inlineStr">
        <is>
          <t xml:space="preserve">   • Consultation Scheduled: 50-60% probability</t>
        </is>
      </c>
    </row>
    <row r="39">
      <c r="A39" t="inlineStr">
        <is>
          <t xml:space="preserve">   • Proposal Sent: 70-80% probability</t>
        </is>
      </c>
    </row>
    <row r="40">
      <c r="A40" t="inlineStr">
        <is>
          <t xml:space="preserve">   • Signed Client: 100% probability</t>
        </is>
      </c>
    </row>
    <row r="41">
      <c r="A41" t="inlineStr">
        <is>
          <t xml:space="preserve">   • Lost: 0% probability</t>
        </is>
      </c>
    </row>
    <row r="42">
      <c r="A42" t="inlineStr">
        <is>
          <t xml:space="preserve">   Adjust based on your firm's actual conversion rates</t>
        </is>
      </c>
    </row>
    <row r="43">
      <c r="A43" t="inlineStr"/>
    </row>
    <row r="44">
      <c r="A44" s="25" t="inlineStr">
        <is>
          <t>STATUS DEFINITIONS:</t>
        </is>
      </c>
    </row>
    <row r="45">
      <c r="A45" t="inlineStr">
        <is>
          <t xml:space="preserve">   • New: Just received, not yet contacted</t>
        </is>
      </c>
    </row>
    <row r="46">
      <c r="A46" t="inlineStr">
        <is>
          <t xml:space="preserve">   • Contacted: Initial outreach made</t>
        </is>
      </c>
    </row>
    <row r="47">
      <c r="A47" t="inlineStr">
        <is>
          <t xml:space="preserve">   • Hot: High likelihood of closing</t>
        </is>
      </c>
    </row>
    <row r="48">
      <c r="A48" t="inlineStr">
        <is>
          <t xml:space="preserve">   • Warm: Moderate interest</t>
        </is>
      </c>
    </row>
    <row r="49">
      <c r="A49" t="inlineStr">
        <is>
          <t xml:space="preserve">   • Cold: Low probability</t>
        </is>
      </c>
    </row>
    <row r="50">
      <c r="A50" t="inlineStr">
        <is>
          <t xml:space="preserve">   • Won: Successfully retained</t>
        </is>
      </c>
    </row>
    <row r="51">
      <c r="A51" t="inlineStr">
        <is>
          <t xml:space="preserve">   • Lost: Did not retain</t>
        </is>
      </c>
    </row>
    <row r="52">
      <c r="A52" t="inlineStr"/>
    </row>
    <row r="53">
      <c r="A53" s="25" t="inlineStr">
        <is>
          <t>TIPS FOR SUCCESS:</t>
        </is>
      </c>
    </row>
    <row r="54">
      <c r="A54" t="inlineStr">
        <is>
          <t xml:space="preserve">   • Update daily for accurate tracking</t>
        </is>
      </c>
    </row>
    <row r="55">
      <c r="A55" t="inlineStr">
        <is>
          <t xml:space="preserve">   • Follow up within 24 hours of inquiry</t>
        </is>
      </c>
    </row>
    <row r="56">
      <c r="A56" t="inlineStr">
        <is>
          <t xml:space="preserve">   • Track all lead sources to measure ROI</t>
        </is>
      </c>
    </row>
    <row r="57">
      <c r="A57" t="inlineStr">
        <is>
          <t xml:space="preserve">   • Review conversion rates weekly</t>
        </is>
      </c>
    </row>
    <row r="58">
      <c r="A58" t="inlineStr">
        <is>
          <t xml:space="preserve">   • Set follow-up reminders</t>
        </is>
      </c>
    </row>
    <row r="59">
      <c r="A59" t="inlineStr"/>
    </row>
    <row r="60">
      <c r="A60" t="inlineStr">
        <is>
          <t>Get 30+ more resources at:</t>
        </is>
      </c>
    </row>
    <row r="61">
      <c r="A61" s="26" t="inlineStr">
        <is>
          <t>thecaseforgrowth.com</t>
        </is>
      </c>
    </row>
    <row r="62">
      <c r="A62" t="inlineStr"/>
    </row>
    <row r="63">
      <c r="A63" t="inlineStr">
        <is>
          <t>Need help optimizing your intake process?</t>
        </is>
      </c>
    </row>
    <row r="64">
      <c r="A64" s="26" t="inlineStr">
        <is>
          <t>Book a consultation at pioneerly.com/book-consultation</t>
        </is>
      </c>
    </row>
  </sheetData>
  <hyperlinks>
    <hyperlink xmlns:r="http://schemas.openxmlformats.org/officeDocument/2006/relationships" ref="A61" r:id="rId1"/>
    <hyperlink xmlns:r="http://schemas.openxmlformats.org/officeDocument/2006/relationships" ref="A6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2026-01-14T16:29:16Z</dcterms:created>
  <dcterms:modified xmlns:dcterms="http://purl.org/dc/terms/" xmlns:xsi="http://www.w3.org/2001/XMLSchema-instance" xsi:type="dcterms:W3CDTF">2026-01-14T16:29:16Z</dcterms:modified>
</cp:coreProperties>
</file>