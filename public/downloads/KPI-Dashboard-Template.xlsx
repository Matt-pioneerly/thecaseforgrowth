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Monthly Tracking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sz val="12"/>
    </font>
    <font>
      <b val="1"/>
      <color rgb="00FFFFFF"/>
    </font>
    <font>
      <b val="1"/>
    </font>
    <font>
      <sz val="14"/>
    </font>
    <font>
      <b val="1"/>
      <color rgb="00EA580C"/>
      <u val="single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Consultation conversion, referral rate" TargetMode="External" Id="rId1"/><Relationship Type="http://schemas.openxmlformats.org/officeDocument/2006/relationships/hyperlink" Target="https://pioneerly.com/book-consultatio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0" customWidth="1" min="4" max="4"/>
    <col width="10" customWidth="1" min="5" max="5"/>
    <col width="25" customWidth="1" min="6" max="6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KEY PERFORMANCE INDICATORS</t>
        </is>
      </c>
    </row>
    <row r="6">
      <c r="A6" s="4" t="inlineStr">
        <is>
          <t>Metric</t>
        </is>
      </c>
      <c r="B6" s="4" t="inlineStr">
        <is>
          <t>Current Value</t>
        </is>
      </c>
      <c r="C6" s="4" t="inlineStr">
        <is>
          <t>Target</t>
        </is>
      </c>
      <c r="D6" s="4" t="inlineStr">
        <is>
          <t>Status</t>
        </is>
      </c>
      <c r="E6" s="4" t="inlineStr">
        <is>
          <t>Trend</t>
        </is>
      </c>
      <c r="F6" s="4" t="inlineStr">
        <is>
          <t>Notes</t>
        </is>
      </c>
    </row>
    <row r="7">
      <c r="A7" s="5" t="inlineStr">
        <is>
          <t>Monthly Revenue</t>
        </is>
      </c>
      <c r="B7" s="6" t="n">
        <v>50000</v>
      </c>
      <c r="C7" s="6" t="n">
        <v>75000</v>
      </c>
      <c r="D7">
        <f>IF(B7&gt;=C7,"✓","⚠")</f>
        <v/>
      </c>
      <c r="E7" s="7" t="inlineStr">
        <is>
          <t>↑</t>
        </is>
      </c>
      <c r="F7" t="inlineStr">
        <is>
          <t>Tracking well</t>
        </is>
      </c>
    </row>
    <row r="8">
      <c r="A8" s="5" t="inlineStr">
        <is>
          <t>Profit Margin %</t>
        </is>
      </c>
      <c r="B8" s="8" t="n">
        <v>0.35</v>
      </c>
      <c r="C8" s="8" t="n">
        <v>0.4</v>
      </c>
      <c r="D8">
        <f>IF(B8&gt;=C8,"✓","⚠")</f>
        <v/>
      </c>
      <c r="E8" s="7" t="inlineStr">
        <is>
          <t>→</t>
        </is>
      </c>
      <c r="F8" t="inlineStr">
        <is>
          <t>Need improvement</t>
        </is>
      </c>
    </row>
    <row r="9">
      <c r="A9" s="5" t="inlineStr">
        <is>
          <t>New Clients</t>
        </is>
      </c>
      <c r="B9" t="n">
        <v>8</v>
      </c>
      <c r="C9" t="n">
        <v>12</v>
      </c>
      <c r="D9">
        <f>IF(B9&gt;=C9,"✓","⚠")</f>
        <v/>
      </c>
      <c r="E9" s="7" t="inlineStr">
        <is>
          <t>↑</t>
        </is>
      </c>
      <c r="F9" t="inlineStr">
        <is>
          <t>Above target</t>
        </is>
      </c>
    </row>
    <row r="10">
      <c r="A10" s="5" t="inlineStr">
        <is>
          <t>Client Acquisition Cost</t>
        </is>
      </c>
      <c r="B10" s="6" t="n">
        <v>1200</v>
      </c>
      <c r="C10" s="6" t="n">
        <v>1000</v>
      </c>
      <c r="D10">
        <f>IF(B10&lt;=C10,"✓","⚠")</f>
        <v/>
      </c>
      <c r="E10" s="7" t="inlineStr">
        <is>
          <t>↓</t>
        </is>
      </c>
      <c r="F10" t="inlineStr">
        <is>
          <t>Decreasing</t>
        </is>
      </c>
    </row>
    <row r="11">
      <c r="A11" s="5" t="inlineStr">
        <is>
          <t>Average Case Value</t>
        </is>
      </c>
      <c r="B11" s="6" t="n">
        <v>6250</v>
      </c>
      <c r="C11" s="6" t="n">
        <v>7000</v>
      </c>
      <c r="D11">
        <f>IF(B11&gt;=C11,"✓","⚠")</f>
        <v/>
      </c>
      <c r="E11" s="7" t="inlineStr">
        <is>
          <t>→</t>
        </is>
      </c>
      <c r="F11" t="inlineStr">
        <is>
          <t>Stable</t>
        </is>
      </c>
    </row>
    <row r="12">
      <c r="A12" s="5" t="inlineStr">
        <is>
          <t>Consultation Conversion %</t>
        </is>
      </c>
      <c r="B12" s="8" t="n">
        <v>0.55</v>
      </c>
      <c r="C12" s="8" t="n">
        <v>0.6</v>
      </c>
      <c r="D12">
        <f>IF(B12&gt;=C12,"✓","⚠")</f>
        <v/>
      </c>
      <c r="E12" s="7" t="inlineStr">
        <is>
          <t>↑</t>
        </is>
      </c>
      <c r="F12" t="inlineStr">
        <is>
          <t>Improving</t>
        </is>
      </c>
    </row>
    <row r="13">
      <c r="A13" s="5" t="inlineStr">
        <is>
          <t>Billable Hours %</t>
        </is>
      </c>
      <c r="B13" s="8" t="n">
        <v>0.7</v>
      </c>
      <c r="C13" s="8" t="n">
        <v>0.75</v>
      </c>
      <c r="D13">
        <f>IF(B13&gt;=C13,"✓","⚠")</f>
        <v/>
      </c>
      <c r="E13" s="7" t="inlineStr">
        <is>
          <t>→</t>
        </is>
      </c>
      <c r="F13" t="inlineStr">
        <is>
          <t>On track</t>
        </is>
      </c>
    </row>
    <row r="14">
      <c r="A14" s="5" t="inlineStr">
        <is>
          <t>Collection Rate %</t>
        </is>
      </c>
      <c r="B14" s="8" t="n">
        <v>0.92</v>
      </c>
      <c r="C14" s="8" t="n">
        <v>0.95</v>
      </c>
      <c r="D14">
        <f>IF(B14&gt;=C14,"✓","⚠")</f>
        <v/>
      </c>
      <c r="E14" s="7" t="inlineStr">
        <is>
          <t>↑</t>
        </is>
      </c>
      <c r="F14" t="inlineStr">
        <is>
          <t>Good</t>
        </is>
      </c>
    </row>
    <row r="15">
      <c r="A15" s="5" t="inlineStr">
        <is>
          <t>Average Days to Close</t>
        </is>
      </c>
      <c r="B15" t="n">
        <v>45</v>
      </c>
      <c r="C15" t="n">
        <v>60</v>
      </c>
      <c r="D15">
        <f>IF(B15&lt;=C15,"✓","⚠")</f>
        <v/>
      </c>
      <c r="E15" s="7" t="inlineStr">
        <is>
          <t>→</t>
        </is>
      </c>
      <c r="F15" t="inlineStr">
        <is>
          <t>Acceptable</t>
        </is>
      </c>
    </row>
    <row r="16">
      <c r="A16" s="5" t="inlineStr">
        <is>
          <t>Client Satisfaction Score</t>
        </is>
      </c>
      <c r="B16" t="n">
        <v>4.5</v>
      </c>
      <c r="C16" t="n">
        <v>4.7</v>
      </c>
      <c r="D16">
        <f>IF(B16&gt;=C16,"✓","⚠")</f>
        <v/>
      </c>
      <c r="E16" s="7" t="inlineStr">
        <is>
          <t>↑</t>
        </is>
      </c>
      <c r="F16" t="inlineStr">
        <is>
          <t>Excellent</t>
        </is>
      </c>
    </row>
    <row r="17">
      <c r="A17" s="5" t="inlineStr">
        <is>
          <t>Referral Rate %</t>
        </is>
      </c>
      <c r="B17" s="8" t="n">
        <v>0.28</v>
      </c>
      <c r="C17" s="8" t="n">
        <v>0.35</v>
      </c>
      <c r="D17">
        <f>IF(B17&gt;=C17,"✓","⚠")</f>
        <v/>
      </c>
      <c r="E17" s="7" t="inlineStr">
        <is>
          <t>↑</t>
        </is>
      </c>
      <c r="F17" t="inlineStr">
        <is>
          <t>Growing</t>
        </is>
      </c>
    </row>
    <row r="18">
      <c r="A18" s="5" t="inlineStr">
        <is>
          <t>Staff Utilization %</t>
        </is>
      </c>
      <c r="B18" s="8" t="n">
        <v>0.8</v>
      </c>
      <c r="C18" s="8" t="n">
        <v>0.85</v>
      </c>
      <c r="D18">
        <f>IF(B18&gt;=C18,"✓","⚠")</f>
        <v/>
      </c>
      <c r="E18" s="7" t="inlineStr">
        <is>
          <t>→</t>
        </is>
      </c>
      <c r="F18" t="inlineStr">
        <is>
          <t>Efficient</t>
        </is>
      </c>
    </row>
  </sheetData>
  <mergeCells count="3">
    <mergeCell ref="A2:F2"/>
    <mergeCell ref="A1:F1"/>
    <mergeCell ref="A4:F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 CASE FOR GROWTH</t>
        </is>
      </c>
    </row>
    <row r="3">
      <c r="A3" s="3" t="inlineStr">
        <is>
          <t>MONTHLY PERFORMANCE TRACKING</t>
        </is>
      </c>
    </row>
    <row r="5">
      <c r="A5" s="4" t="inlineStr">
        <is>
          <t>Metric</t>
        </is>
      </c>
      <c r="B5" s="4" t="inlineStr">
        <is>
          <t>Month 1</t>
        </is>
      </c>
      <c r="C5" s="4" t="inlineStr">
        <is>
          <t>Month 2</t>
        </is>
      </c>
      <c r="D5" s="4" t="inlineStr">
        <is>
          <t>Month 3</t>
        </is>
      </c>
      <c r="E5" s="4" t="inlineStr">
        <is>
          <t>Month 4</t>
        </is>
      </c>
      <c r="F5" s="4" t="inlineStr">
        <is>
          <t>Month 5</t>
        </is>
      </c>
      <c r="G5" s="4" t="inlineStr">
        <is>
          <t>Month 6</t>
        </is>
      </c>
    </row>
    <row r="6">
      <c r="A6" s="5" t="inlineStr">
        <is>
          <t>Revenue</t>
        </is>
      </c>
      <c r="B6" s="6" t="inlineStr"/>
      <c r="C6" s="6" t="inlineStr"/>
      <c r="D6" s="6" t="inlineStr"/>
      <c r="E6" s="6" t="inlineStr"/>
      <c r="F6" s="6" t="inlineStr"/>
      <c r="G6" s="6" t="inlineStr"/>
    </row>
    <row r="7">
      <c r="A7" s="5" t="inlineStr">
        <is>
          <t>New Clients</t>
        </is>
      </c>
      <c r="B7" t="inlineStr"/>
      <c r="C7" t="inlineStr"/>
      <c r="D7" t="inlineStr"/>
      <c r="E7" t="inlineStr"/>
      <c r="F7" t="inlineStr"/>
      <c r="G7" t="inlineStr"/>
    </row>
    <row r="8">
      <c r="A8" s="5" t="inlineStr">
        <is>
          <t>Profit Margin %</t>
        </is>
      </c>
      <c r="B8" s="8" t="inlineStr"/>
      <c r="C8" s="8" t="inlineStr"/>
      <c r="D8" s="8" t="inlineStr"/>
      <c r="E8" s="8" t="inlineStr"/>
      <c r="F8" s="8" t="inlineStr"/>
      <c r="G8" s="8" t="inlineStr"/>
    </row>
    <row r="9">
      <c r="A9" s="5" t="inlineStr">
        <is>
          <t>Consultation Conversion %</t>
        </is>
      </c>
      <c r="B9" s="8" t="inlineStr"/>
      <c r="C9" s="8" t="inlineStr"/>
      <c r="D9" s="8" t="inlineStr"/>
      <c r="E9" s="8" t="inlineStr"/>
      <c r="F9" s="8" t="inlineStr"/>
      <c r="G9" s="8" t="inlineStr"/>
    </row>
    <row r="10">
      <c r="A10" s="5" t="inlineStr">
        <is>
          <t>Collection Rate %</t>
        </is>
      </c>
      <c r="B10" s="8" t="inlineStr"/>
      <c r="C10" s="8" t="inlineStr"/>
      <c r="D10" s="8" t="inlineStr"/>
      <c r="E10" s="8" t="inlineStr"/>
      <c r="F10" s="8" t="inlineStr"/>
      <c r="G10" s="8" t="inlineStr"/>
    </row>
    <row r="11">
      <c r="A11" s="5" t="inlineStr">
        <is>
          <t>Client Satisfaction</t>
        </is>
      </c>
      <c r="B11" t="inlineStr"/>
      <c r="C11" t="inlineStr"/>
      <c r="D11" t="inlineStr"/>
      <c r="E11" t="inlineStr"/>
      <c r="F11" t="inlineStr"/>
      <c r="G11" t="inlineStr"/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</cols>
  <sheetData>
    <row r="1">
      <c r="A1" s="9" t="inlineStr">
        <is>
          <t>THE CASE FOR GROWTH</t>
        </is>
      </c>
    </row>
    <row r="3">
      <c r="A3" s="3" t="inlineStr">
        <is>
          <t>KPI CALCULATION FORMULAS</t>
        </is>
      </c>
    </row>
    <row r="5">
      <c r="A5" s="4" t="inlineStr">
        <is>
          <t>KPI</t>
        </is>
      </c>
      <c r="B5" s="4" t="inlineStr">
        <is>
          <t>Formula</t>
        </is>
      </c>
      <c r="C5" s="4" t="inlineStr">
        <is>
          <t>Example</t>
        </is>
      </c>
    </row>
    <row r="6">
      <c r="A6" s="10" t="inlineStr">
        <is>
          <t>Profit Margin %</t>
        </is>
      </c>
      <c r="B6" s="11" t="inlineStr">
        <is>
          <t>(Revenue - Expenses) / Revenue</t>
        </is>
      </c>
      <c r="C6" s="11" t="inlineStr">
        <is>
          <t>($50,000 - $32,500) / $50,000 = 35%</t>
        </is>
      </c>
    </row>
    <row r="7">
      <c r="A7" s="10" t="inlineStr">
        <is>
          <t>Client Acquisition Cost</t>
        </is>
      </c>
      <c r="B7" s="11" t="inlineStr">
        <is>
          <t>Marketing Spend / New Clients</t>
        </is>
      </c>
      <c r="C7" s="11" t="inlineStr">
        <is>
          <t>$9,600 / 8 = $1,200</t>
        </is>
      </c>
    </row>
    <row r="8">
      <c r="A8" s="10" t="inlineStr">
        <is>
          <t>Average Case Value</t>
        </is>
      </c>
      <c r="B8" s="11" t="inlineStr">
        <is>
          <t>Total Revenue / Number of Cases</t>
        </is>
      </c>
      <c r="C8" s="11" t="inlineStr">
        <is>
          <t>$50,000 / 8 = $6,250</t>
        </is>
      </c>
    </row>
    <row r="9">
      <c r="A9" s="10" t="inlineStr">
        <is>
          <t>Consultation Conversion %</t>
        </is>
      </c>
      <c r="B9" s="11" t="inlineStr">
        <is>
          <t>Signed Clients / Total Consultations</t>
        </is>
      </c>
      <c r="C9" s="11" t="inlineStr">
        <is>
          <t>11 / 20 = 55%</t>
        </is>
      </c>
    </row>
    <row r="10">
      <c r="A10" s="10" t="inlineStr">
        <is>
          <t>Billable Hours %</t>
        </is>
      </c>
      <c r="B10" s="11" t="inlineStr">
        <is>
          <t>Billable Hours / Total Hours</t>
        </is>
      </c>
      <c r="C10" s="11" t="inlineStr">
        <is>
          <t>140 / 200 = 70%</t>
        </is>
      </c>
    </row>
    <row r="11">
      <c r="A11" s="10" t="inlineStr">
        <is>
          <t>Collection Rate %</t>
        </is>
      </c>
      <c r="B11" s="11" t="inlineStr">
        <is>
          <t>Cash Collected / Revenue Billed</t>
        </is>
      </c>
      <c r="C11" s="11" t="inlineStr">
        <is>
          <t>$46,000 / $50,000 = 92%</t>
        </is>
      </c>
    </row>
    <row r="12">
      <c r="A12" s="10" t="inlineStr">
        <is>
          <t>Referral Rate %</t>
        </is>
      </c>
      <c r="B12" s="11" t="inlineStr">
        <is>
          <t>Clients from Referrals / Total New Clients</t>
        </is>
      </c>
      <c r="C12" s="11" t="inlineStr">
        <is>
          <t>5 / 18 = 28%</t>
        </is>
      </c>
    </row>
    <row r="13">
      <c r="A13" s="10" t="inlineStr">
        <is>
          <t>Staff Utilization %</t>
        </is>
      </c>
      <c r="B13" s="11" t="inlineStr">
        <is>
          <t>Billable Staff Hours / Total Staff Hours</t>
        </is>
      </c>
      <c r="C13" s="11" t="inlineStr">
        <is>
          <t>320 / 400 = 80%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9" t="inlineStr">
        <is>
          <t>THE CASE FOR GROWTH</t>
        </is>
      </c>
    </row>
    <row r="3">
      <c r="A3" s="3" t="inlineStr">
        <is>
          <t>HOW TO USE THIS DASHBOARD</t>
        </is>
      </c>
    </row>
    <row r="5">
      <c r="A5" t="inlineStr"/>
      <c r="B5" t="inlineStr"/>
    </row>
    <row r="6">
      <c r="A6" t="inlineStr">
        <is>
          <t>1. Update Monthly</t>
        </is>
      </c>
      <c r="B6" t="inlineStr">
        <is>
          <t>Enter current values in the KPI Dashboard sheet each month</t>
        </is>
      </c>
    </row>
    <row r="7">
      <c r="A7" t="inlineStr">
        <is>
          <t>2. Set Targets</t>
        </is>
      </c>
      <c r="B7" t="inlineStr">
        <is>
          <t>Adjust target values based on your growth goals</t>
        </is>
      </c>
    </row>
    <row r="8">
      <c r="A8" t="inlineStr">
        <is>
          <t>3. Track Trends</t>
        </is>
      </c>
      <c r="B8" t="inlineStr">
        <is>
          <t>Use the Monthly Tracking sheet to see progress over time</t>
        </is>
      </c>
    </row>
    <row r="9">
      <c r="A9" t="inlineStr">
        <is>
          <t>4. Review Weekly</t>
        </is>
      </c>
      <c r="B9" t="inlineStr">
        <is>
          <t>Check status indicators - ✓ means on track, ⚠ needs attention</t>
        </is>
      </c>
    </row>
    <row r="10">
      <c r="A10" t="inlineStr">
        <is>
          <t>5. Take Action</t>
        </is>
      </c>
      <c r="B10" t="inlineStr">
        <is>
          <t>Focus on metrics showing ⚠ or downward trends</t>
        </is>
      </c>
    </row>
    <row r="11">
      <c r="A11" t="inlineStr"/>
      <c r="B11" t="inlineStr"/>
    </row>
    <row r="12">
      <c r="A12" s="5" t="inlineStr">
        <is>
          <t>THE 12 MOST IMPORTANT METRICS</t>
        </is>
      </c>
    </row>
    <row r="13">
      <c r="A13" t="inlineStr"/>
      <c r="B13" t="inlineStr"/>
    </row>
    <row r="14">
      <c r="A14" t="inlineStr">
        <is>
          <t>Revenue Metrics</t>
        </is>
      </c>
      <c r="B14" t="inlineStr">
        <is>
          <t>Monthly revenue, profit margin, average case value</t>
        </is>
      </c>
    </row>
    <row r="15">
      <c r="A15" t="inlineStr">
        <is>
          <t>Client Metrics</t>
        </is>
      </c>
      <c r="B15" t="inlineStr">
        <is>
          <t>New clients, acquisition cost, retention rate</t>
        </is>
      </c>
    </row>
    <row r="16">
      <c r="A16" t="inlineStr">
        <is>
          <t>Conversion Metrics</t>
        </is>
      </c>
      <c r="B16" s="12" t="inlineStr">
        <is>
          <t>Consultation conversion, referral rate</t>
        </is>
      </c>
    </row>
    <row r="17">
      <c r="A17" t="inlineStr">
        <is>
          <t>Efficiency Metrics</t>
        </is>
      </c>
      <c r="B17" t="inlineStr">
        <is>
          <t>Billable hours %, collection rate, staff utilization</t>
        </is>
      </c>
    </row>
    <row r="18">
      <c r="A18" t="inlineStr">
        <is>
          <t>Quality Metrics</t>
        </is>
      </c>
      <c r="B18" t="inlineStr">
        <is>
          <t>Client satisfaction, days to close</t>
        </is>
      </c>
    </row>
    <row r="19">
      <c r="A19" t="inlineStr"/>
      <c r="B19" t="inlineStr"/>
    </row>
    <row r="20">
      <c r="A20" s="5" t="inlineStr">
        <is>
          <t>Need help improving your KPIs?</t>
        </is>
      </c>
    </row>
    <row r="21">
      <c r="A21" t="inlineStr">
        <is>
          <t>Book a consultation</t>
        </is>
      </c>
      <c r="B21" s="12" t="inlineStr">
        <is>
          <t>https://pioneerly.com/book-consultation</t>
        </is>
      </c>
    </row>
  </sheetData>
  <mergeCells count="4">
    <mergeCell ref="A20:B20"/>
    <mergeCell ref="A3:B3"/>
    <mergeCell ref="A1:B1"/>
    <mergeCell ref="A12:B12"/>
  </mergeCells>
  <hyperlinks>
    <hyperlink xmlns:r="http://schemas.openxmlformats.org/officeDocument/2006/relationships" ref="B16" r:id="rId1"/>
    <hyperlink xmlns:r="http://schemas.openxmlformats.org/officeDocument/2006/relationships" ref="B2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2026-01-31T14:15:42Z</dcterms:created>
  <dcterms:modified xmlns:dcterms="http://purl.org/dc/terms/" xmlns:xsi="http://www.w3.org/2001/XMLSchema-instance" xsi:type="dcterms:W3CDTF">2026-01-31T14:15:42Z</dcterms:modified>
</cp:coreProperties>
</file>