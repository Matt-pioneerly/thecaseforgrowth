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  <sheet xmlns:r="http://schemas.openxmlformats.org/officeDocument/2006/relationships" name="Quarterly Summary" sheetId="2" state="visible" r:id="rId2"/>
    <sheet xmlns:r="http://schemas.openxmlformats.org/officeDocument/2006/relationships" name="ROI Calculator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-"/>
    <numFmt numFmtId="165" formatCode="0.0%"/>
    <numFmt numFmtId="166" formatCode="0.0x"/>
    <numFmt numFmtId="167" formatCode="0.0%;(0.0%);&quot;-&quot;"/>
  </numFmts>
  <fonts count="15">
    <font>
      <name val="Calibri"/>
      <family val="2"/>
      <color theme="1"/>
      <sz val="11"/>
      <scheme val="minor"/>
    </font>
    <font>
      <b val="1"/>
      <color rgb="00EA580C"/>
      <sz val="14"/>
    </font>
    <font>
      <i val="1"/>
      <color rgb="0064748B"/>
      <sz val="10"/>
    </font>
    <font>
      <b val="1"/>
      <color rgb="001E293B"/>
      <sz val="16"/>
    </font>
    <font>
      <color rgb="0064748B"/>
      <sz val="11"/>
    </font>
    <font>
      <color rgb="000000FF"/>
    </font>
    <font>
      <b val="1"/>
      <color rgb="00FFFFFF"/>
    </font>
    <font>
      <b val="1"/>
    </font>
    <font>
      <color rgb="00000000"/>
    </font>
    <font>
      <i val="1"/>
      <color rgb="0064748B"/>
    </font>
    <font>
      <b val="1"/>
      <sz val="12"/>
    </font>
    <font>
      <i val="1"/>
      <color rgb="00EA580C"/>
    </font>
    <font>
      <b val="1"/>
      <sz val="11"/>
    </font>
    <font>
      <b val="1"/>
      <color rgb="00EA580C"/>
      <sz val="9"/>
      <u val="single"/>
    </font>
    <font>
      <b val="1"/>
      <color rgb="00EA580C"/>
      <u val="single"/>
    </font>
  </fonts>
  <fills count="6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EFF6FF"/>
        <bgColor rgb="00EFF6FF"/>
      </patternFill>
    </fill>
    <fill>
      <patternFill patternType="solid">
        <fgColor rgb="00EA580C"/>
        <bgColor rgb="00EA580C"/>
      </patternFill>
    </fill>
    <fill>
      <patternFill patternType="solid">
        <fgColor rgb="00F97316"/>
        <bgColor rgb="00F973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3" borderId="0" pivotButton="0" quotePrefix="0" xfId="0"/>
    <xf numFmtId="0" fontId="6" fillId="4" borderId="0" applyAlignment="1" pivotButton="0" quotePrefix="0" xfId="0">
      <alignment horizontal="center" vertical="center"/>
    </xf>
    <xf numFmtId="0" fontId="7" fillId="5" borderId="0" pivotButton="0" quotePrefix="0" xfId="0"/>
    <xf numFmtId="0" fontId="5" fillId="0" borderId="0" applyAlignment="1" pivotButton="0" quotePrefix="0" xfId="0">
      <alignment indent="2"/>
    </xf>
    <xf numFmtId="164" fontId="5" fillId="3" borderId="0" pivotButton="0" quotePrefix="0" xfId="0"/>
    <xf numFmtId="164" fontId="8" fillId="2" borderId="0" pivotButton="0" quotePrefix="0" xfId="0"/>
    <xf numFmtId="0" fontId="9" fillId="0" borderId="0" applyAlignment="1" pivotButton="0" quotePrefix="0" xfId="0">
      <alignment indent="2"/>
    </xf>
    <xf numFmtId="164" fontId="8" fillId="0" borderId="0" pivotButton="0" quotePrefix="0" xfId="0"/>
    <xf numFmtId="0" fontId="10" fillId="4" borderId="0" pivotButton="0" quotePrefix="0" xfId="0"/>
    <xf numFmtId="164" fontId="6" fillId="4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7" fillId="4" borderId="0" pivotButton="0" quotePrefix="0" xfId="0"/>
    <xf numFmtId="0" fontId="4" fillId="0" borderId="0" pivotButton="0" quotePrefix="0" xfId="0"/>
    <xf numFmtId="0" fontId="10" fillId="5" borderId="0" pivotButton="0" quotePrefix="0" xfId="0"/>
    <xf numFmtId="165" fontId="8" fillId="0" borderId="0" pivotButton="0" quotePrefix="0" xfId="0"/>
    <xf numFmtId="166" fontId="8" fillId="0" borderId="0" pivotButton="0" quotePrefix="0" xfId="0"/>
    <xf numFmtId="167" fontId="8" fillId="0" borderId="0" pivotButton="0" quotePrefix="0" xfId="0"/>
    <xf numFmtId="0" fontId="1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0" fillId="0" borderId="0" applyAlignment="1" pivotButton="0" quotePrefix="0" xfId="0">
      <alignment indent="1"/>
    </xf>
    <xf numFmtId="0" fontId="5" fillId="0" borderId="0" pivotButton="0" quotePrefix="0" xfId="0"/>
    <xf numFmtId="0" fontId="8" fillId="0" borderId="0" pivotButton="0" quotePrefix="0" xfId="0"/>
    <xf numFmtId="0" fontId="13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3" fillId="2" borderId="0" applyAlignment="1" pivotButton="0" quotePrefix="0" xfId="0">
      <alignment horizontal="center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ecaseforgrowth.co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thecaseforgrowth.com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thecaseforgrowth.co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thecaseforgrowth.com" TargetMode="External" Id="rId1"/><Relationship Type="http://schemas.openxmlformats.org/officeDocument/2006/relationships/hyperlink" Target="https://pioneerly.com/book-consultation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2" customHeight="1">
      <c r="A1" s="1" t="inlineStr">
        <is>
          <t>THE CASE FOR GROWTH</t>
        </is>
      </c>
    </row>
    <row r="2" ht="18" customHeight="1">
      <c r="A2" s="30" t="inlineStr">
        <is>
          <t>thecaseforgrowth.com</t>
        </is>
      </c>
    </row>
    <row r="3">
      <c r="A3" s="3" t="inlineStr">
        <is>
          <t>LAW FIRM MARKETING BUDGET TRACKER</t>
        </is>
      </c>
    </row>
    <row r="4" ht="25" customHeight="1">
      <c r="A4" s="4" t="inlineStr">
        <is>
          <t>Monthly Budget vs Actual Tracking with ROI Analysis</t>
        </is>
      </c>
    </row>
    <row r="5"/>
    <row r="6">
      <c r="A6" t="inlineStr">
        <is>
          <t>Budget Year:</t>
        </is>
      </c>
      <c r="B6" s="5" t="n">
        <v>2025</v>
      </c>
    </row>
    <row r="7"/>
    <row r="8">
      <c r="A8" s="6" t="inlineStr">
        <is>
          <t>Marketing Category</t>
        </is>
      </c>
      <c r="B8" s="6" t="inlineStr">
        <is>
          <t>Jan</t>
        </is>
      </c>
      <c r="C8" s="6" t="inlineStr">
        <is>
          <t>Feb</t>
        </is>
      </c>
      <c r="D8" s="6" t="inlineStr">
        <is>
          <t>Mar</t>
        </is>
      </c>
      <c r="E8" s="6" t="inlineStr">
        <is>
          <t>Apr</t>
        </is>
      </c>
      <c r="F8" s="6" t="inlineStr">
        <is>
          <t>May</t>
        </is>
      </c>
      <c r="G8" s="6" t="inlineStr">
        <is>
          <t>Jun</t>
        </is>
      </c>
      <c r="H8" s="6" t="inlineStr">
        <is>
          <t>Jul</t>
        </is>
      </c>
      <c r="I8" s="6" t="inlineStr">
        <is>
          <t>Aug</t>
        </is>
      </c>
      <c r="J8" s="6" t="inlineStr">
        <is>
          <t>Sep</t>
        </is>
      </c>
      <c r="K8" s="6" t="inlineStr">
        <is>
          <t>Oct</t>
        </is>
      </c>
      <c r="L8" s="6" t="inlineStr">
        <is>
          <t>Nov</t>
        </is>
      </c>
      <c r="M8" s="6" t="inlineStr">
        <is>
          <t>Dec</t>
        </is>
      </c>
      <c r="N8" s="6" t="inlineStr">
        <is>
          <t>Total</t>
        </is>
      </c>
    </row>
    <row r="9">
      <c r="A9" s="7" t="inlineStr">
        <is>
          <t>Search Engine Optimization (SEO)</t>
        </is>
      </c>
    </row>
    <row r="10">
      <c r="A10" s="8" t="inlineStr">
        <is>
          <t xml:space="preserve">  Budget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10">
        <f>SUM(B11:M11)</f>
        <v/>
      </c>
    </row>
    <row r="11">
      <c r="A11" s="8" t="inlineStr">
        <is>
          <t xml:space="preserve">  Actual</t>
        </is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10">
        <f>SUM(B12:M12)</f>
        <v/>
      </c>
    </row>
    <row r="12">
      <c r="A12" s="11" t="inlineStr">
        <is>
          <t xml:space="preserve">  Variance</t>
        </is>
      </c>
      <c r="B12" s="12">
        <f>B11-B12</f>
        <v/>
      </c>
      <c r="C12" s="12">
        <f>C11-C12</f>
        <v/>
      </c>
      <c r="D12" s="12">
        <f>D11-D12</f>
        <v/>
      </c>
      <c r="E12" s="12">
        <f>E11-E12</f>
        <v/>
      </c>
      <c r="F12" s="12">
        <f>F11-F12</f>
        <v/>
      </c>
      <c r="G12" s="12">
        <f>G11-G12</f>
        <v/>
      </c>
      <c r="H12" s="12">
        <f>H11-H12</f>
        <v/>
      </c>
      <c r="I12" s="12">
        <f>I11-I12</f>
        <v/>
      </c>
      <c r="J12" s="12">
        <f>J11-J12</f>
        <v/>
      </c>
      <c r="K12" s="12">
        <f>K11-K12</f>
        <v/>
      </c>
      <c r="L12" s="12">
        <f>L11-L12</f>
        <v/>
      </c>
      <c r="M12" s="12">
        <f>M11-M12</f>
        <v/>
      </c>
      <c r="N12" s="12">
        <f>N11-N12</f>
        <v/>
      </c>
    </row>
    <row r="13">
      <c r="A13" s="7" t="inlineStr">
        <is>
          <t>Pay-Per-Click Advertising (PPC)</t>
        </is>
      </c>
    </row>
    <row r="14">
      <c r="A14" s="8" t="inlineStr">
        <is>
          <t xml:space="preserve">  Budget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10">
        <f>SUM(B15:M15)</f>
        <v/>
      </c>
    </row>
    <row r="15">
      <c r="A15" s="8" t="inlineStr">
        <is>
          <t xml:space="preserve">  Actual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10">
        <f>SUM(B16:M16)</f>
        <v/>
      </c>
    </row>
    <row r="16">
      <c r="A16" s="11" t="inlineStr">
        <is>
          <t xml:space="preserve">  Variance</t>
        </is>
      </c>
      <c r="B16" s="12">
        <f>B15-B16</f>
        <v/>
      </c>
      <c r="C16" s="12">
        <f>C15-C16</f>
        <v/>
      </c>
      <c r="D16" s="12">
        <f>D15-D16</f>
        <v/>
      </c>
      <c r="E16" s="12">
        <f>E15-E16</f>
        <v/>
      </c>
      <c r="F16" s="12">
        <f>F15-F16</f>
        <v/>
      </c>
      <c r="G16" s="12">
        <f>G15-G16</f>
        <v/>
      </c>
      <c r="H16" s="12">
        <f>H15-H16</f>
        <v/>
      </c>
      <c r="I16" s="12">
        <f>I15-I16</f>
        <v/>
      </c>
      <c r="J16" s="12">
        <f>J15-J16</f>
        <v/>
      </c>
      <c r="K16" s="12">
        <f>K15-K16</f>
        <v/>
      </c>
      <c r="L16" s="12">
        <f>L15-L16</f>
        <v/>
      </c>
      <c r="M16" s="12">
        <f>M15-M16</f>
        <v/>
      </c>
      <c r="N16" s="12">
        <f>N15-N16</f>
        <v/>
      </c>
    </row>
    <row r="17">
      <c r="A17" s="7" t="inlineStr">
        <is>
          <t>Content Marketing</t>
        </is>
      </c>
    </row>
    <row r="18">
      <c r="A18" s="8" t="inlineStr">
        <is>
          <t xml:space="preserve">  Budget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10">
        <f>SUM(B19:M19)</f>
        <v/>
      </c>
    </row>
    <row r="19">
      <c r="A19" s="8" t="inlineStr">
        <is>
          <t xml:space="preserve">  Actual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10">
        <f>SUM(B20:M20)</f>
        <v/>
      </c>
    </row>
    <row r="20">
      <c r="A20" s="11" t="inlineStr">
        <is>
          <t xml:space="preserve">  Variance</t>
        </is>
      </c>
      <c r="B20" s="12">
        <f>B19-B20</f>
        <v/>
      </c>
      <c r="C20" s="12">
        <f>C19-C20</f>
        <v/>
      </c>
      <c r="D20" s="12">
        <f>D19-D20</f>
        <v/>
      </c>
      <c r="E20" s="12">
        <f>E19-E20</f>
        <v/>
      </c>
      <c r="F20" s="12">
        <f>F19-F20</f>
        <v/>
      </c>
      <c r="G20" s="12">
        <f>G19-G20</f>
        <v/>
      </c>
      <c r="H20" s="12">
        <f>H19-H20</f>
        <v/>
      </c>
      <c r="I20" s="12">
        <f>I19-I20</f>
        <v/>
      </c>
      <c r="J20" s="12">
        <f>J19-J20</f>
        <v/>
      </c>
      <c r="K20" s="12">
        <f>K19-K20</f>
        <v/>
      </c>
      <c r="L20" s="12">
        <f>L19-L20</f>
        <v/>
      </c>
      <c r="M20" s="12">
        <f>M19-M20</f>
        <v/>
      </c>
      <c r="N20" s="12">
        <f>N19-N20</f>
        <v/>
      </c>
    </row>
    <row r="21">
      <c r="A21" s="7" t="inlineStr">
        <is>
          <t>Social Media Marketing</t>
        </is>
      </c>
    </row>
    <row r="22">
      <c r="A22" s="8" t="inlineStr">
        <is>
          <t xml:space="preserve">  Budget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10">
        <f>SUM(B23:M23)</f>
        <v/>
      </c>
    </row>
    <row r="23">
      <c r="A23" s="8" t="inlineStr">
        <is>
          <t xml:space="preserve">  Actual</t>
        </is>
      </c>
      <c r="B23" s="9" t="n">
        <v>0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10">
        <f>SUM(B24:M24)</f>
        <v/>
      </c>
    </row>
    <row r="24">
      <c r="A24" s="11" t="inlineStr">
        <is>
          <t xml:space="preserve">  Variance</t>
        </is>
      </c>
      <c r="B24" s="12">
        <f>B23-B24</f>
        <v/>
      </c>
      <c r="C24" s="12">
        <f>C23-C24</f>
        <v/>
      </c>
      <c r="D24" s="12">
        <f>D23-D24</f>
        <v/>
      </c>
      <c r="E24" s="12">
        <f>E23-E24</f>
        <v/>
      </c>
      <c r="F24" s="12">
        <f>F23-F24</f>
        <v/>
      </c>
      <c r="G24" s="12">
        <f>G23-G24</f>
        <v/>
      </c>
      <c r="H24" s="12">
        <f>H23-H24</f>
        <v/>
      </c>
      <c r="I24" s="12">
        <f>I23-I24</f>
        <v/>
      </c>
      <c r="J24" s="12">
        <f>J23-J24</f>
        <v/>
      </c>
      <c r="K24" s="12">
        <f>K23-K24</f>
        <v/>
      </c>
      <c r="L24" s="12">
        <f>L23-L24</f>
        <v/>
      </c>
      <c r="M24" s="12">
        <f>M23-M24</f>
        <v/>
      </c>
      <c r="N24" s="12">
        <f>N23-N24</f>
        <v/>
      </c>
    </row>
    <row r="25">
      <c r="A25" s="7" t="inlineStr">
        <is>
          <t>Email Marketing</t>
        </is>
      </c>
    </row>
    <row r="26">
      <c r="A26" s="8" t="inlineStr">
        <is>
          <t xml:space="preserve">  Budget</t>
        </is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10">
        <f>SUM(B27:M27)</f>
        <v/>
      </c>
    </row>
    <row r="27">
      <c r="A27" s="8" t="inlineStr">
        <is>
          <t xml:space="preserve">  Actual</t>
        </is>
      </c>
      <c r="B27" s="9" t="n">
        <v>0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10">
        <f>SUM(B28:M28)</f>
        <v/>
      </c>
    </row>
    <row r="28">
      <c r="A28" s="11" t="inlineStr">
        <is>
          <t xml:space="preserve">  Variance</t>
        </is>
      </c>
      <c r="B28" s="12">
        <f>B27-B28</f>
        <v/>
      </c>
      <c r="C28" s="12">
        <f>C27-C28</f>
        <v/>
      </c>
      <c r="D28" s="12">
        <f>D27-D28</f>
        <v/>
      </c>
      <c r="E28" s="12">
        <f>E27-E28</f>
        <v/>
      </c>
      <c r="F28" s="12">
        <f>F27-F28</f>
        <v/>
      </c>
      <c r="G28" s="12">
        <f>G27-G28</f>
        <v/>
      </c>
      <c r="H28" s="12">
        <f>H27-H28</f>
        <v/>
      </c>
      <c r="I28" s="12">
        <f>I27-I28</f>
        <v/>
      </c>
      <c r="J28" s="12">
        <f>J27-J28</f>
        <v/>
      </c>
      <c r="K28" s="12">
        <f>K27-K28</f>
        <v/>
      </c>
      <c r="L28" s="12">
        <f>L27-L28</f>
        <v/>
      </c>
      <c r="M28" s="12">
        <f>M27-M28</f>
        <v/>
      </c>
      <c r="N28" s="12">
        <f>N27-N28</f>
        <v/>
      </c>
    </row>
    <row r="29">
      <c r="A29" s="7" t="inlineStr">
        <is>
          <t>Website &amp; Landing Pages</t>
        </is>
      </c>
    </row>
    <row r="30">
      <c r="A30" s="8" t="inlineStr">
        <is>
          <t xml:space="preserve">  Budget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10">
        <f>SUM(B31:M31)</f>
        <v/>
      </c>
    </row>
    <row r="31">
      <c r="A31" s="8" t="inlineStr">
        <is>
          <t xml:space="preserve">  Actual</t>
        </is>
      </c>
      <c r="B31" s="9" t="n">
        <v>0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10">
        <f>SUM(B32:M32)</f>
        <v/>
      </c>
    </row>
    <row r="32">
      <c r="A32" s="11" t="inlineStr">
        <is>
          <t xml:space="preserve">  Variance</t>
        </is>
      </c>
      <c r="B32" s="12">
        <f>B31-B32</f>
        <v/>
      </c>
      <c r="C32" s="12">
        <f>C31-C32</f>
        <v/>
      </c>
      <c r="D32" s="12">
        <f>D31-D32</f>
        <v/>
      </c>
      <c r="E32" s="12">
        <f>E31-E32</f>
        <v/>
      </c>
      <c r="F32" s="12">
        <f>F31-F32</f>
        <v/>
      </c>
      <c r="G32" s="12">
        <f>G31-G32</f>
        <v/>
      </c>
      <c r="H32" s="12">
        <f>H31-H32</f>
        <v/>
      </c>
      <c r="I32" s="12">
        <f>I31-I32</f>
        <v/>
      </c>
      <c r="J32" s="12">
        <f>J31-J32</f>
        <v/>
      </c>
      <c r="K32" s="12">
        <f>K31-K32</f>
        <v/>
      </c>
      <c r="L32" s="12">
        <f>L31-L32</f>
        <v/>
      </c>
      <c r="M32" s="12">
        <f>M31-M32</f>
        <v/>
      </c>
      <c r="N32" s="12">
        <f>N31-N32</f>
        <v/>
      </c>
    </row>
    <row r="33">
      <c r="A33" s="7" t="inlineStr">
        <is>
          <t>Events &amp; Networking</t>
        </is>
      </c>
    </row>
    <row r="34">
      <c r="A34" s="8" t="inlineStr">
        <is>
          <t xml:space="preserve">  Budget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0</v>
      </c>
      <c r="N34" s="10">
        <f>SUM(B35:M35)</f>
        <v/>
      </c>
    </row>
    <row r="35">
      <c r="A35" s="8" t="inlineStr">
        <is>
          <t xml:space="preserve">  Actual</t>
        </is>
      </c>
      <c r="B35" s="9" t="n">
        <v>0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10">
        <f>SUM(B36:M36)</f>
        <v/>
      </c>
    </row>
    <row r="36">
      <c r="A36" s="11" t="inlineStr">
        <is>
          <t xml:space="preserve">  Variance</t>
        </is>
      </c>
      <c r="B36" s="12">
        <f>B35-B36</f>
        <v/>
      </c>
      <c r="C36" s="12">
        <f>C35-C36</f>
        <v/>
      </c>
      <c r="D36" s="12">
        <f>D35-D36</f>
        <v/>
      </c>
      <c r="E36" s="12">
        <f>E35-E36</f>
        <v/>
      </c>
      <c r="F36" s="12">
        <f>F35-F36</f>
        <v/>
      </c>
      <c r="G36" s="12">
        <f>G35-G36</f>
        <v/>
      </c>
      <c r="H36" s="12">
        <f>H35-H36</f>
        <v/>
      </c>
      <c r="I36" s="12">
        <f>I35-I36</f>
        <v/>
      </c>
      <c r="J36" s="12">
        <f>J35-J36</f>
        <v/>
      </c>
      <c r="K36" s="12">
        <f>K35-K36</f>
        <v/>
      </c>
      <c r="L36" s="12">
        <f>L35-L36</f>
        <v/>
      </c>
      <c r="M36" s="12">
        <f>M35-M36</f>
        <v/>
      </c>
      <c r="N36" s="12">
        <f>N35-N36</f>
        <v/>
      </c>
    </row>
    <row r="37">
      <c r="A37" s="7" t="inlineStr">
        <is>
          <t>Public Relations</t>
        </is>
      </c>
    </row>
    <row r="38">
      <c r="A38" s="8" t="inlineStr">
        <is>
          <t xml:space="preserve">  Budget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0</v>
      </c>
      <c r="L38" s="9" t="n">
        <v>0</v>
      </c>
      <c r="M38" s="9" t="n">
        <v>0</v>
      </c>
      <c r="N38" s="10">
        <f>SUM(B39:M39)</f>
        <v/>
      </c>
    </row>
    <row r="39">
      <c r="A39" s="8" t="inlineStr">
        <is>
          <t xml:space="preserve">  Actual</t>
        </is>
      </c>
      <c r="B39" s="9" t="n">
        <v>0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10">
        <f>SUM(B40:M40)</f>
        <v/>
      </c>
    </row>
    <row r="40">
      <c r="A40" s="11" t="inlineStr">
        <is>
          <t xml:space="preserve">  Variance</t>
        </is>
      </c>
      <c r="B40" s="12">
        <f>B39-B40</f>
        <v/>
      </c>
      <c r="C40" s="12">
        <f>C39-C40</f>
        <v/>
      </c>
      <c r="D40" s="12">
        <f>D39-D40</f>
        <v/>
      </c>
      <c r="E40" s="12">
        <f>E39-E40</f>
        <v/>
      </c>
      <c r="F40" s="12">
        <f>F39-F40</f>
        <v/>
      </c>
      <c r="G40" s="12">
        <f>G39-G40</f>
        <v/>
      </c>
      <c r="H40" s="12">
        <f>H39-H40</f>
        <v/>
      </c>
      <c r="I40" s="12">
        <f>I39-I40</f>
        <v/>
      </c>
      <c r="J40" s="12">
        <f>J39-J40</f>
        <v/>
      </c>
      <c r="K40" s="12">
        <f>K39-K40</f>
        <v/>
      </c>
      <c r="L40" s="12">
        <f>L39-L40</f>
        <v/>
      </c>
      <c r="M40" s="12">
        <f>M39-M40</f>
        <v/>
      </c>
      <c r="N40" s="12">
        <f>N39-N40</f>
        <v/>
      </c>
    </row>
    <row r="41">
      <c r="A41" s="7" t="inlineStr">
        <is>
          <t>Marketing Technology</t>
        </is>
      </c>
    </row>
    <row r="42">
      <c r="A42" s="8" t="inlineStr">
        <is>
          <t xml:space="preserve">  Budget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0</v>
      </c>
      <c r="M42" s="9" t="n">
        <v>0</v>
      </c>
      <c r="N42" s="10">
        <f>SUM(B43:M43)</f>
        <v/>
      </c>
    </row>
    <row r="43">
      <c r="A43" s="8" t="inlineStr">
        <is>
          <t xml:space="preserve">  Actual</t>
        </is>
      </c>
      <c r="B43" s="9" t="n">
        <v>0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10">
        <f>SUM(B44:M44)</f>
        <v/>
      </c>
    </row>
    <row r="44">
      <c r="A44" s="11" t="inlineStr">
        <is>
          <t xml:space="preserve">  Variance</t>
        </is>
      </c>
      <c r="B44" s="12">
        <f>B43-B44</f>
        <v/>
      </c>
      <c r="C44" s="12">
        <f>C43-C44</f>
        <v/>
      </c>
      <c r="D44" s="12">
        <f>D43-D44</f>
        <v/>
      </c>
      <c r="E44" s="12">
        <f>E43-E44</f>
        <v/>
      </c>
      <c r="F44" s="12">
        <f>F43-F44</f>
        <v/>
      </c>
      <c r="G44" s="12">
        <f>G43-G44</f>
        <v/>
      </c>
      <c r="H44" s="12">
        <f>H43-H44</f>
        <v/>
      </c>
      <c r="I44" s="12">
        <f>I43-I44</f>
        <v/>
      </c>
      <c r="J44" s="12">
        <f>J43-J44</f>
        <v/>
      </c>
      <c r="K44" s="12">
        <f>K43-K44</f>
        <v/>
      </c>
      <c r="L44" s="12">
        <f>L43-L44</f>
        <v/>
      </c>
      <c r="M44" s="12">
        <f>M43-M44</f>
        <v/>
      </c>
      <c r="N44" s="12">
        <f>N43-N44</f>
        <v/>
      </c>
    </row>
    <row r="45">
      <c r="A45" s="7" t="inlineStr">
        <is>
          <t>Professional Services (Agency/Consultant)</t>
        </is>
      </c>
    </row>
    <row r="46">
      <c r="A46" s="8" t="inlineStr">
        <is>
          <t xml:space="preserve">  Budget</t>
        </is>
      </c>
      <c r="B46" s="9" t="n">
        <v>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0</v>
      </c>
      <c r="L46" s="9" t="n">
        <v>0</v>
      </c>
      <c r="M46" s="9" t="n">
        <v>0</v>
      </c>
      <c r="N46" s="10">
        <f>SUM(B47:M47)</f>
        <v/>
      </c>
    </row>
    <row r="47">
      <c r="A47" s="8" t="inlineStr">
        <is>
          <t xml:space="preserve">  Actual</t>
        </is>
      </c>
      <c r="B47" s="9" t="n">
        <v>0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10">
        <f>SUM(B48:M48)</f>
        <v/>
      </c>
    </row>
    <row r="48">
      <c r="A48" s="11" t="inlineStr">
        <is>
          <t xml:space="preserve">  Variance</t>
        </is>
      </c>
      <c r="B48" s="12">
        <f>B47-B48</f>
        <v/>
      </c>
      <c r="C48" s="12">
        <f>C47-C48</f>
        <v/>
      </c>
      <c r="D48" s="12">
        <f>D47-D48</f>
        <v/>
      </c>
      <c r="E48" s="12">
        <f>E47-E48</f>
        <v/>
      </c>
      <c r="F48" s="12">
        <f>F47-F48</f>
        <v/>
      </c>
      <c r="G48" s="12">
        <f>G47-G48</f>
        <v/>
      </c>
      <c r="H48" s="12">
        <f>H47-H48</f>
        <v/>
      </c>
      <c r="I48" s="12">
        <f>I47-I48</f>
        <v/>
      </c>
      <c r="J48" s="12">
        <f>J47-J48</f>
        <v/>
      </c>
      <c r="K48" s="12">
        <f>K47-K48</f>
        <v/>
      </c>
      <c r="L48" s="12">
        <f>L47-L48</f>
        <v/>
      </c>
      <c r="M48" s="12">
        <f>M47-M48</f>
        <v/>
      </c>
      <c r="N48" s="12">
        <f>N47-N48</f>
        <v/>
      </c>
    </row>
    <row r="49">
      <c r="A49" s="7" t="inlineStr">
        <is>
          <t>Other Marketing Expenses</t>
        </is>
      </c>
    </row>
    <row r="50">
      <c r="A50" s="8" t="inlineStr">
        <is>
          <t xml:space="preserve">  Budget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10">
        <f>SUM(B51:M51)</f>
        <v/>
      </c>
    </row>
    <row r="51">
      <c r="A51" s="8" t="inlineStr">
        <is>
          <t xml:space="preserve">  Actual</t>
        </is>
      </c>
      <c r="B51" s="9" t="n">
        <v>0</v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10">
        <f>SUM(B52:M52)</f>
        <v/>
      </c>
    </row>
    <row r="52">
      <c r="A52" s="11" t="inlineStr">
        <is>
          <t xml:space="preserve">  Variance</t>
        </is>
      </c>
      <c r="B52" s="12">
        <f>B51-B52</f>
        <v/>
      </c>
      <c r="C52" s="12">
        <f>C51-C52</f>
        <v/>
      </c>
      <c r="D52" s="12">
        <f>D51-D52</f>
        <v/>
      </c>
      <c r="E52" s="12">
        <f>E51-E52</f>
        <v/>
      </c>
      <c r="F52" s="12">
        <f>F51-F52</f>
        <v/>
      </c>
      <c r="G52" s="12">
        <f>G51-G52</f>
        <v/>
      </c>
      <c r="H52" s="12">
        <f>H51-H52</f>
        <v/>
      </c>
      <c r="I52" s="12">
        <f>I51-I52</f>
        <v/>
      </c>
      <c r="J52" s="12">
        <f>J51-J52</f>
        <v/>
      </c>
      <c r="K52" s="12">
        <f>K51-K52</f>
        <v/>
      </c>
      <c r="L52" s="12">
        <f>L51-L52</f>
        <v/>
      </c>
      <c r="M52" s="12">
        <f>M51-M52</f>
        <v/>
      </c>
      <c r="N52" s="12">
        <f>N51-N52</f>
        <v/>
      </c>
    </row>
    <row r="53">
      <c r="A53" s="13" t="inlineStr">
        <is>
          <t>TOTAL MARKETING SPEND</t>
        </is>
      </c>
      <c r="B53" s="14">
        <f>SUM(B11,B15,B19,B23,B27,B31,B35,B39,B43,B47,B51)</f>
        <v/>
      </c>
      <c r="C53" s="14">
        <f>SUM(C11,C15,C19,C23,C27,C31,C35,C39,C43,C47,C51)</f>
        <v/>
      </c>
      <c r="D53" s="14">
        <f>SUM(D11,D15,D19,D23,D27,D31,D35,D39,D43,D47,D51)</f>
        <v/>
      </c>
      <c r="E53" s="14">
        <f>SUM(E11,E15,E19,E23,E27,E31,E35,E39,E43,E47,E51)</f>
        <v/>
      </c>
      <c r="F53" s="14">
        <f>SUM(F11,F15,F19,F23,F27,F31,F35,F39,F43,F47,F51)</f>
        <v/>
      </c>
      <c r="G53" s="14">
        <f>SUM(G11,G15,G19,G23,G27,G31,G35,G39,G43,G47,G51)</f>
        <v/>
      </c>
      <c r="H53" s="14">
        <f>SUM(H11,H15,H19,H23,H27,H31,H35,H39,H43,H47,H51)</f>
        <v/>
      </c>
      <c r="I53" s="14">
        <f>SUM(I11,I15,I19,I23,I27,I31,I35,I39,I43,I47,I51)</f>
        <v/>
      </c>
      <c r="J53" s="14">
        <f>SUM(J11,J15,J19,J23,J27,J31,J35,J39,J43,J47,J51)</f>
        <v/>
      </c>
      <c r="K53" s="14">
        <f>SUM(K11,K15,K19,K23,K27,K31,K35,K39,K43,K47,K51)</f>
        <v/>
      </c>
      <c r="L53" s="14">
        <f>SUM(L11,L15,L19,L23,L27,L31,L35,L39,L43,L47,L51)</f>
        <v/>
      </c>
      <c r="M53" s="14">
        <f>SUM(M11,M15,M19,M23,M27,M31,M35,M39,M43,M47,M51)</f>
        <v/>
      </c>
      <c r="N53" s="14">
        <f>SUM(N11,N15,N19,N23,N27,N31,N35,N39,N43,N47,N51)</f>
        <v/>
      </c>
    </row>
  </sheetData>
  <mergeCells count="15">
    <mergeCell ref="A18:N18"/>
    <mergeCell ref="A42:N42"/>
    <mergeCell ref="A22:N22"/>
    <mergeCell ref="A34:N34"/>
    <mergeCell ref="A50:N50"/>
    <mergeCell ref="A4:N4"/>
    <mergeCell ref="A26:N26"/>
    <mergeCell ref="A30:N30"/>
    <mergeCell ref="A2:N2"/>
    <mergeCell ref="A38:N38"/>
    <mergeCell ref="A10:N10"/>
    <mergeCell ref="A5:N5"/>
    <mergeCell ref="A46:N46"/>
    <mergeCell ref="A14:N14"/>
    <mergeCell ref="A1:N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31" t="inlineStr">
        <is>
          <t>THE CASE FOR GROWTH</t>
        </is>
      </c>
    </row>
    <row r="2">
      <c r="A2" s="32" t="inlineStr">
        <is>
          <t>thecaseforgrowth.com</t>
        </is>
      </c>
    </row>
    <row r="4" ht="25" customHeight="1">
      <c r="A4" s="3" t="inlineStr">
        <is>
          <t>QUARTERLY MARKETING SUMMARY</t>
        </is>
      </c>
    </row>
    <row r="6">
      <c r="A6" s="15" t="inlineStr">
        <is>
          <t>Marketing Category</t>
        </is>
      </c>
      <c r="B6" s="15" t="inlineStr">
        <is>
          <t>Q1 (Jan-Mar)</t>
        </is>
      </c>
      <c r="C6" s="15" t="inlineStr">
        <is>
          <t>Q2 (Apr-Jun)</t>
        </is>
      </c>
      <c r="D6" s="15" t="inlineStr">
        <is>
          <t>Q3 (Jul-Sep)</t>
        </is>
      </c>
      <c r="E6" s="15" t="inlineStr">
        <is>
          <t>Q4 (Oct-Dec)</t>
        </is>
      </c>
      <c r="F6" s="15" t="inlineStr">
        <is>
          <t>Annual Total</t>
        </is>
      </c>
    </row>
    <row r="7">
      <c r="A7" s="16" t="inlineStr">
        <is>
          <t>Search Engine Optimization (SEO)</t>
        </is>
      </c>
      <c r="B7" s="12">
        <f>'Monthly Budget'!SUM(B11:D11)</f>
        <v/>
      </c>
      <c r="C7" s="12">
        <f>'Monthly Budget'!SUM(E11:G11)</f>
        <v/>
      </c>
      <c r="D7" s="12">
        <f>'Monthly Budget'!SUM(H11:J11)</f>
        <v/>
      </c>
      <c r="E7" s="12">
        <f>'Monthly Budget'!SUM(K11:M11)</f>
        <v/>
      </c>
      <c r="F7" s="10">
        <f>SUM(B7:E7)</f>
        <v/>
      </c>
    </row>
    <row r="8">
      <c r="A8" s="16" t="inlineStr">
        <is>
          <t>Pay-Per-Click Advertising (PPC)</t>
        </is>
      </c>
      <c r="B8" s="12">
        <f>'Monthly Budget'!SUM(B15:D15)</f>
        <v/>
      </c>
      <c r="C8" s="12">
        <f>'Monthly Budget'!SUM(E15:G15)</f>
        <v/>
      </c>
      <c r="D8" s="12">
        <f>'Monthly Budget'!SUM(H15:J15)</f>
        <v/>
      </c>
      <c r="E8" s="12">
        <f>'Monthly Budget'!SUM(K15:M15)</f>
        <v/>
      </c>
      <c r="F8" s="10">
        <f>SUM(B8:E8)</f>
        <v/>
      </c>
    </row>
    <row r="9">
      <c r="A9" s="16" t="inlineStr">
        <is>
          <t>Content Marketing</t>
        </is>
      </c>
      <c r="B9" s="12">
        <f>'Monthly Budget'!SUM(B19:D19)</f>
        <v/>
      </c>
      <c r="C9" s="12">
        <f>'Monthly Budget'!SUM(E19:G19)</f>
        <v/>
      </c>
      <c r="D9" s="12">
        <f>'Monthly Budget'!SUM(H19:J19)</f>
        <v/>
      </c>
      <c r="E9" s="12">
        <f>'Monthly Budget'!SUM(K19:M19)</f>
        <v/>
      </c>
      <c r="F9" s="10">
        <f>SUM(B9:E9)</f>
        <v/>
      </c>
    </row>
    <row r="10">
      <c r="A10" s="16" t="inlineStr">
        <is>
          <t>Social Media Marketing</t>
        </is>
      </c>
      <c r="B10" s="12">
        <f>'Monthly Budget'!SUM(B23:D23)</f>
        <v/>
      </c>
      <c r="C10" s="12">
        <f>'Monthly Budget'!SUM(E23:G23)</f>
        <v/>
      </c>
      <c r="D10" s="12">
        <f>'Monthly Budget'!SUM(H23:J23)</f>
        <v/>
      </c>
      <c r="E10" s="12">
        <f>'Monthly Budget'!SUM(K23:M23)</f>
        <v/>
      </c>
      <c r="F10" s="10">
        <f>SUM(B10:E10)</f>
        <v/>
      </c>
    </row>
    <row r="11">
      <c r="A11" s="16" t="inlineStr">
        <is>
          <t>Email Marketing</t>
        </is>
      </c>
      <c r="B11" s="12">
        <f>'Monthly Budget'!SUM(B27:D27)</f>
        <v/>
      </c>
      <c r="C11" s="12">
        <f>'Monthly Budget'!SUM(E27:G27)</f>
        <v/>
      </c>
      <c r="D11" s="12">
        <f>'Monthly Budget'!SUM(H27:J27)</f>
        <v/>
      </c>
      <c r="E11" s="12">
        <f>'Monthly Budget'!SUM(K27:M27)</f>
        <v/>
      </c>
      <c r="F11" s="10">
        <f>SUM(B11:E11)</f>
        <v/>
      </c>
    </row>
    <row r="12">
      <c r="A12" s="16" t="inlineStr">
        <is>
          <t>Website &amp; Landing Pages</t>
        </is>
      </c>
      <c r="B12" s="12">
        <f>'Monthly Budget'!SUM(B31:D31)</f>
        <v/>
      </c>
      <c r="C12" s="12">
        <f>'Monthly Budget'!SUM(E31:G31)</f>
        <v/>
      </c>
      <c r="D12" s="12">
        <f>'Monthly Budget'!SUM(H31:J31)</f>
        <v/>
      </c>
      <c r="E12" s="12">
        <f>'Monthly Budget'!SUM(K31:M31)</f>
        <v/>
      </c>
      <c r="F12" s="10">
        <f>SUM(B12:E12)</f>
        <v/>
      </c>
    </row>
    <row r="13">
      <c r="A13" s="16" t="inlineStr">
        <is>
          <t>Events &amp; Networking</t>
        </is>
      </c>
      <c r="B13" s="12">
        <f>'Monthly Budget'!SUM(B35:D35)</f>
        <v/>
      </c>
      <c r="C13" s="12">
        <f>'Monthly Budget'!SUM(E35:G35)</f>
        <v/>
      </c>
      <c r="D13" s="12">
        <f>'Monthly Budget'!SUM(H35:J35)</f>
        <v/>
      </c>
      <c r="E13" s="12">
        <f>'Monthly Budget'!SUM(K35:M35)</f>
        <v/>
      </c>
      <c r="F13" s="10">
        <f>SUM(B13:E13)</f>
        <v/>
      </c>
    </row>
    <row r="14">
      <c r="A14" s="16" t="inlineStr">
        <is>
          <t>Public Relations</t>
        </is>
      </c>
      <c r="B14" s="12">
        <f>'Monthly Budget'!SUM(B39:D39)</f>
        <v/>
      </c>
      <c r="C14" s="12">
        <f>'Monthly Budget'!SUM(E39:G39)</f>
        <v/>
      </c>
      <c r="D14" s="12">
        <f>'Monthly Budget'!SUM(H39:J39)</f>
        <v/>
      </c>
      <c r="E14" s="12">
        <f>'Monthly Budget'!SUM(K39:M39)</f>
        <v/>
      </c>
      <c r="F14" s="10">
        <f>SUM(B14:E14)</f>
        <v/>
      </c>
    </row>
    <row r="15">
      <c r="A15" s="16" t="inlineStr">
        <is>
          <t>Marketing Technology</t>
        </is>
      </c>
      <c r="B15" s="12">
        <f>'Monthly Budget'!SUM(B43:D43)</f>
        <v/>
      </c>
      <c r="C15" s="12">
        <f>'Monthly Budget'!SUM(E43:G43)</f>
        <v/>
      </c>
      <c r="D15" s="12">
        <f>'Monthly Budget'!SUM(H43:J43)</f>
        <v/>
      </c>
      <c r="E15" s="12">
        <f>'Monthly Budget'!SUM(K43:M43)</f>
        <v/>
      </c>
      <c r="F15" s="10">
        <f>SUM(B15:E15)</f>
        <v/>
      </c>
    </row>
    <row r="16">
      <c r="A16" s="16" t="inlineStr">
        <is>
          <t>Professional Services (Agency/Consultant)</t>
        </is>
      </c>
      <c r="B16" s="12">
        <f>'Monthly Budget'!SUM(B47:D47)</f>
        <v/>
      </c>
      <c r="C16" s="12">
        <f>'Monthly Budget'!SUM(E47:G47)</f>
        <v/>
      </c>
      <c r="D16" s="12">
        <f>'Monthly Budget'!SUM(H47:J47)</f>
        <v/>
      </c>
      <c r="E16" s="12">
        <f>'Monthly Budget'!SUM(K47:M47)</f>
        <v/>
      </c>
      <c r="F16" s="10">
        <f>SUM(B16:E16)</f>
        <v/>
      </c>
    </row>
    <row r="17">
      <c r="A17" s="16" t="inlineStr">
        <is>
          <t>Other Marketing Expenses</t>
        </is>
      </c>
      <c r="B17" s="12">
        <f>'Monthly Budget'!SUM(B51:D51)</f>
        <v/>
      </c>
      <c r="C17" s="12">
        <f>'Monthly Budget'!SUM(E51:G51)</f>
        <v/>
      </c>
      <c r="D17" s="12">
        <f>'Monthly Budget'!SUM(H51:J51)</f>
        <v/>
      </c>
      <c r="E17" s="12">
        <f>'Monthly Budget'!SUM(K51:M51)</f>
        <v/>
      </c>
      <c r="F17" s="10">
        <f>SUM(B17:E17)</f>
        <v/>
      </c>
    </row>
    <row r="18">
      <c r="A18" s="17" t="inlineStr">
        <is>
          <t>TOTAL</t>
        </is>
      </c>
      <c r="B18" s="14">
        <f>SUM(B7:B17)</f>
        <v/>
      </c>
      <c r="C18" s="14">
        <f>SUM(C7:C17)</f>
        <v/>
      </c>
      <c r="D18" s="14">
        <f>SUM(D7:D17)</f>
        <v/>
      </c>
      <c r="E18" s="14">
        <f>SUM(E7:E17)</f>
        <v/>
      </c>
      <c r="F18" s="14">
        <f>SUM(F7:F17)</f>
        <v/>
      </c>
    </row>
  </sheetData>
  <mergeCells count="3">
    <mergeCell ref="A2:F2"/>
    <mergeCell ref="A1:F1"/>
    <mergeCell ref="A4:F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22" customHeight="1">
      <c r="A1" s="31" t="inlineStr">
        <is>
          <t>THE CASE FOR GROWTH</t>
        </is>
      </c>
    </row>
    <row r="2">
      <c r="A2" s="32" t="inlineStr">
        <is>
          <t>thecaseforgrowth.com</t>
        </is>
      </c>
    </row>
    <row r="4">
      <c r="A4" s="3" t="inlineStr">
        <is>
          <t>MARKETING ROI CALCULATOR</t>
        </is>
      </c>
    </row>
    <row r="6">
      <c r="A6" s="18" t="inlineStr">
        <is>
          <t>Track marketing performance and calculate return on investment</t>
        </is>
      </c>
    </row>
    <row r="8">
      <c r="A8" s="19" t="inlineStr">
        <is>
          <t>INPUTS</t>
        </is>
      </c>
    </row>
    <row r="9">
      <c r="A9" t="inlineStr">
        <is>
          <t>Total Marketing Spend (Annual):</t>
        </is>
      </c>
      <c r="B9" s="12">
        <f>'Quarterly Summary'!F18</f>
        <v/>
      </c>
    </row>
    <row r="10">
      <c r="A10" t="inlineStr">
        <is>
          <t>New Clients Acquired:</t>
        </is>
      </c>
      <c r="B10" s="5" t="n">
        <v>0</v>
      </c>
    </row>
    <row r="11">
      <c r="A11" t="inlineStr">
        <is>
          <t>Average Client Value:</t>
        </is>
      </c>
      <c r="B11" s="9" t="n">
        <v>0</v>
      </c>
    </row>
    <row r="12">
      <c r="A12" t="inlineStr">
        <is>
          <t>Client Lifetime Value (optional):</t>
        </is>
      </c>
      <c r="B12" s="9" t="n">
        <v>0</v>
      </c>
    </row>
    <row r="14">
      <c r="A14" s="19" t="inlineStr">
        <is>
          <t>CALCULATIONS</t>
        </is>
      </c>
    </row>
    <row r="15">
      <c r="A15" t="inlineStr">
        <is>
          <t>Total Revenue from Marketing:</t>
        </is>
      </c>
      <c r="B15" s="12">
        <f>B10*B11</f>
        <v/>
      </c>
    </row>
    <row r="16">
      <c r="A16" t="inlineStr">
        <is>
          <t>Cost per Acquisition (CPA):</t>
        </is>
      </c>
      <c r="B16" s="12">
        <f>IF(B10&gt;0,B9/B10,0)</f>
        <v/>
      </c>
    </row>
    <row r="17">
      <c r="A17" t="inlineStr">
        <is>
          <t>Return on Investment (ROI):</t>
        </is>
      </c>
      <c r="B17" s="20">
        <f>IF(B9&gt;0,(B15-B9)/B9,0)</f>
        <v/>
      </c>
    </row>
    <row r="18">
      <c r="A18" t="inlineStr">
        <is>
          <t>ROI Multiple:</t>
        </is>
      </c>
      <c r="B18" s="21">
        <f>IF(B9&gt;0,B15/B9,0)</f>
        <v/>
      </c>
    </row>
    <row r="20">
      <c r="A20" t="inlineStr">
        <is>
          <t>Lifetime Value ROI (if provided):</t>
        </is>
      </c>
      <c r="B20" s="22">
        <f>IF(AND(B9&gt;0,B12&gt;0),(B10*B12-B9)/B9,"-")</f>
        <v/>
      </c>
    </row>
  </sheetData>
  <mergeCells count="4">
    <mergeCell ref="A2:E2"/>
    <mergeCell ref="A6:E6"/>
    <mergeCell ref="A1:E1"/>
    <mergeCell ref="A4:E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65" customWidth="1" min="1" max="1"/>
    <col width="20" customWidth="1" min="2" max="2"/>
  </cols>
  <sheetData>
    <row r="1" ht="20" customHeight="1">
      <c r="A1" s="23" t="inlineStr">
        <is>
          <t>THE CASE FOR GROWTH</t>
        </is>
      </c>
    </row>
    <row r="2" ht="18" customHeight="1">
      <c r="A2" s="24" t="inlineStr">
        <is>
          <t>MARKETING BUDGET TRACKER</t>
        </is>
      </c>
    </row>
    <row r="3">
      <c r="A3" t="inlineStr">
        <is>
          <t>Created by Pioneerly to help law firms track marketing spend and ROI</t>
        </is>
      </c>
    </row>
    <row r="4">
      <c r="A4" s="25" t="inlineStr">
        <is>
          <t>Get 30+ free resources:</t>
        </is>
      </c>
    </row>
    <row r="5">
      <c r="A5" s="33" t="inlineStr">
        <is>
          <t>thecaseforgrowth.com</t>
        </is>
      </c>
    </row>
    <row r="6"/>
    <row r="7">
      <c r="A7" s="26" t="inlineStr">
        <is>
          <t>HOW TO USE THIS TEMPLATE:</t>
        </is>
      </c>
    </row>
    <row r="8"/>
    <row r="9">
      <c r="A9" t="inlineStr">
        <is>
          <t>1. Monthly Budget Sheet:</t>
        </is>
      </c>
    </row>
    <row r="10">
      <c r="A10" s="27" t="inlineStr">
        <is>
          <t xml:space="preserve">   • Enter your BUDGET amounts for each marketing category by month</t>
        </is>
      </c>
      <c r="B10" s="28" t="inlineStr">
        <is>
          <t>Blue cells</t>
        </is>
      </c>
    </row>
    <row r="11">
      <c r="A11" s="27" t="inlineStr">
        <is>
          <t xml:space="preserve">   • Enter your ACTUAL spend as you track expenses throughout the year</t>
        </is>
      </c>
      <c r="B11" s="28" t="inlineStr">
        <is>
          <t>Blue cells</t>
        </is>
      </c>
    </row>
    <row r="12">
      <c r="A12" s="27" t="inlineStr">
        <is>
          <t xml:space="preserve">   • Variance (Budget - Actual) calculates automatically</t>
        </is>
      </c>
      <c r="B12" s="29" t="inlineStr">
        <is>
          <t>Black cells = formulas</t>
        </is>
      </c>
    </row>
    <row r="13">
      <c r="A13" s="27" t="inlineStr">
        <is>
          <t xml:space="preserve">   • Customize categories based on your firm's specific needs</t>
        </is>
      </c>
    </row>
    <row r="14"/>
    <row r="15">
      <c r="A15" t="inlineStr">
        <is>
          <t>2. Quarterly Summary Sheet:</t>
        </is>
      </c>
    </row>
    <row r="16">
      <c r="A16" s="27" t="inlineStr">
        <is>
          <t xml:space="preserve">   • Automatically summarizes spend by quarter</t>
        </is>
      </c>
    </row>
    <row r="17">
      <c r="A17" s="27" t="inlineStr">
        <is>
          <t xml:space="preserve">   • Links to Monthly Budget sheet</t>
        </is>
      </c>
    </row>
    <row r="18">
      <c r="A18" s="27" t="inlineStr">
        <is>
          <t xml:space="preserve">   • Use for quarterly reviews and planning</t>
        </is>
      </c>
    </row>
    <row r="19"/>
    <row r="20">
      <c r="A20" t="inlineStr">
        <is>
          <t>3. ROI Calculator Sheet:</t>
        </is>
      </c>
    </row>
    <row r="21">
      <c r="A21" s="27" t="inlineStr">
        <is>
          <t xml:space="preserve">   • Enter number of new clients acquired from marketing</t>
        </is>
      </c>
    </row>
    <row r="22">
      <c r="A22" s="27" t="inlineStr">
        <is>
          <t xml:space="preserve">   • Enter average client value</t>
        </is>
      </c>
    </row>
    <row r="23">
      <c r="A23" s="27" t="inlineStr">
        <is>
          <t xml:space="preserve">   • Optionally enter client lifetime value for long-term ROI</t>
        </is>
      </c>
    </row>
    <row r="24">
      <c r="A24" s="27" t="inlineStr">
        <is>
          <t xml:space="preserve">   • Calculations show CPA, ROI %, and ROI Multiple</t>
        </is>
      </c>
    </row>
    <row r="25"/>
    <row r="26">
      <c r="A26" s="26" t="inlineStr">
        <is>
          <t>COLOR CODING:</t>
        </is>
      </c>
    </row>
    <row r="27">
      <c r="A27" s="27" t="inlineStr">
        <is>
          <t xml:space="preserve">   • Blue text = Input cells (enter your data here)</t>
        </is>
      </c>
    </row>
    <row r="28">
      <c r="A28" s="27" t="inlineStr">
        <is>
          <t xml:space="preserve">   • Black text = Formulas (auto-calculated)</t>
        </is>
      </c>
    </row>
    <row r="29">
      <c r="A29" s="27" t="inlineStr">
        <is>
          <t xml:space="preserve">   • Yellow background = Totals and key metrics</t>
        </is>
      </c>
    </row>
    <row r="30"/>
    <row r="31">
      <c r="A31" s="26" t="inlineStr">
        <is>
          <t>TIPS FOR SUCCESS:</t>
        </is>
      </c>
    </row>
    <row r="32">
      <c r="A32" s="27" t="inlineStr">
        <is>
          <t xml:space="preserve">   • Update actual spend weekly or monthly for accuracy</t>
        </is>
      </c>
    </row>
    <row r="33">
      <c r="A33" s="27" t="inlineStr">
        <is>
          <t xml:space="preserve">   • Review variance regularly to stay on budget</t>
        </is>
      </c>
    </row>
    <row r="34">
      <c r="A34" s="27" t="inlineStr">
        <is>
          <t xml:space="preserve">   • Track client source to attribute revenue correctly</t>
        </is>
      </c>
    </row>
    <row r="35">
      <c r="A35" s="27" t="inlineStr">
        <is>
          <t xml:space="preserve">   • Compare ROI across categories to optimize spend</t>
        </is>
      </c>
    </row>
    <row r="36">
      <c r="A36" s="27" t="inlineStr">
        <is>
          <t xml:space="preserve">   • Adjust future budgets based on performance data</t>
        </is>
      </c>
    </row>
    <row r="37"/>
    <row r="38">
      <c r="A38" s="26" t="inlineStr">
        <is>
          <t>CUSTOMIZATION:</t>
        </is>
      </c>
    </row>
    <row r="39">
      <c r="A39" s="27" t="inlineStr">
        <is>
          <t xml:space="preserve">   • Add/remove marketing categories as needed</t>
        </is>
      </c>
    </row>
    <row r="40">
      <c r="A40" s="27" t="inlineStr">
        <is>
          <t xml:space="preserve">   • Adjust months if using fiscal year</t>
        </is>
      </c>
    </row>
    <row r="41">
      <c r="A41" s="27" t="inlineStr">
        <is>
          <t xml:space="preserve">   • Add notes column for campaign details</t>
        </is>
      </c>
    </row>
    <row r="42"/>
    <row r="43">
      <c r="A43" t="inlineStr">
        <is>
          <t>Need Help Implementing Your Marketing Strategy?</t>
        </is>
      </c>
    </row>
    <row r="44">
      <c r="A44" s="25" t="inlineStr">
        <is>
          <t>Need help with your marketing strategy?</t>
        </is>
      </c>
    </row>
    <row r="45">
      <c r="A45" s="33" t="inlineStr">
        <is>
          <t>Book a consultation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4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2026-01-13T00:24:04Z</dcterms:created>
  <dcterms:modified xmlns:dcterms="http://purl.org/dc/terms/" xmlns:xsi="http://www.w3.org/2001/XMLSchema-instance" xsi:type="dcterms:W3CDTF">2026-01-25T11:52:34Z</dcterms:modified>
</cp:coreProperties>
</file>